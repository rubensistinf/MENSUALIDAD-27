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UBEN\Downloads\"/>
    </mc:Choice>
  </mc:AlternateContent>
  <bookViews>
    <workbookView xWindow="0" yWindow="0" windowWidth="15345" windowHeight="4575" activeTab="3"/>
  </bookViews>
  <sheets>
    <sheet name="REGISTRO" sheetId="4" r:id="rId1"/>
    <sheet name="REGISTRO_B.DATOS" sheetId="1" state="hidden" r:id="rId2"/>
    <sheet name="INGRESOS" sheetId="3" r:id="rId3"/>
    <sheet name="RECIBOS" sheetId="6" r:id="rId4"/>
  </sheets>
  <definedNames>
    <definedName name="_xlnm.Print_Area" localSheetId="3">RECIBOS!$B$1:$K$60</definedName>
    <definedName name="xCURSO" localSheetId="0">REGISTRO!$M$5:$M$6</definedName>
    <definedName name="xCURSO">REGISTRO_B.DATOS!$M$5:$M$7</definedName>
    <definedName name="xNIVEL" localSheetId="0">REGISTRO!$M$1:$M$4</definedName>
    <definedName name="xNIVEL">REGISTRO_B.DATOS!$M$1:$M$4</definedName>
    <definedName name="XPARALELO" localSheetId="0">REGISTRO!$M$7:$M$14</definedName>
    <definedName name="XPARALELO">REGISTRO_B.DATOS!$M$8:$M$15</definedName>
  </definedNames>
  <calcPr calcId="162913"/>
</workbook>
</file>

<file path=xl/calcChain.xml><?xml version="1.0" encoding="utf-8"?>
<calcChain xmlns="http://schemas.openxmlformats.org/spreadsheetml/2006/main">
  <c r="I14" i="3" l="1"/>
  <c r="W7" i="6" l="1"/>
  <c r="D5" i="6"/>
  <c r="D37" i="6" s="1"/>
  <c r="E4" i="6"/>
  <c r="E36" i="6" s="1"/>
  <c r="D3" i="6"/>
  <c r="D35" i="6" s="1"/>
  <c r="C2" i="6"/>
  <c r="C34" i="6" s="1"/>
  <c r="D14" i="6"/>
  <c r="F21" i="6"/>
  <c r="H23" i="6"/>
  <c r="D16" i="6"/>
  <c r="F53" i="6" l="1"/>
  <c r="D46" i="6"/>
  <c r="D48" i="6"/>
  <c r="H55" i="6"/>
  <c r="C19" i="6"/>
  <c r="H14" i="6"/>
  <c r="H16" i="6"/>
  <c r="D15" i="6"/>
  <c r="H15" i="6"/>
  <c r="C51" i="6"/>
  <c r="C11" i="6"/>
  <c r="D7" i="6"/>
  <c r="D47" i="6" l="1"/>
  <c r="D39" i="6"/>
  <c r="H47" i="6"/>
  <c r="C43" i="6"/>
  <c r="H48" i="6"/>
  <c r="H46" i="6"/>
  <c r="A7" i="4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B204" i="4"/>
  <c r="C204" i="4"/>
  <c r="D204" i="4"/>
  <c r="E204" i="4"/>
  <c r="F204" i="4"/>
  <c r="G204" i="4"/>
  <c r="H204" i="4"/>
  <c r="I204" i="4"/>
  <c r="J204" i="4"/>
  <c r="K204" i="4"/>
  <c r="B205" i="4"/>
  <c r="C205" i="4"/>
  <c r="D205" i="4"/>
  <c r="E205" i="4"/>
  <c r="F205" i="4"/>
  <c r="G205" i="4"/>
  <c r="H205" i="4"/>
  <c r="I205" i="4"/>
  <c r="J205" i="4"/>
  <c r="K205" i="4"/>
  <c r="B206" i="4"/>
  <c r="C206" i="4"/>
  <c r="D206" i="4"/>
  <c r="E206" i="4"/>
  <c r="F206" i="4"/>
  <c r="G206" i="4"/>
  <c r="H206" i="4"/>
  <c r="I206" i="4"/>
  <c r="J206" i="4"/>
  <c r="K206" i="4"/>
  <c r="B207" i="4"/>
  <c r="C207" i="4"/>
  <c r="D207" i="4"/>
  <c r="E207" i="4"/>
  <c r="F207" i="4"/>
  <c r="G207" i="4"/>
  <c r="H207" i="4"/>
  <c r="I207" i="4"/>
  <c r="J207" i="4"/>
  <c r="K207" i="4"/>
  <c r="B208" i="4"/>
  <c r="C208" i="4"/>
  <c r="D208" i="4"/>
  <c r="E208" i="4"/>
  <c r="F208" i="4"/>
  <c r="G208" i="4"/>
  <c r="H208" i="4"/>
  <c r="I208" i="4"/>
  <c r="J208" i="4"/>
  <c r="K208" i="4"/>
  <c r="B209" i="4"/>
  <c r="C209" i="4"/>
  <c r="D209" i="4"/>
  <c r="E209" i="4"/>
  <c r="F209" i="4"/>
  <c r="G209" i="4"/>
  <c r="H209" i="4"/>
  <c r="I209" i="4"/>
  <c r="J209" i="4"/>
  <c r="K209" i="4"/>
  <c r="B210" i="4"/>
  <c r="C210" i="4"/>
  <c r="D210" i="4"/>
  <c r="E210" i="4"/>
  <c r="F210" i="4"/>
  <c r="G210" i="4"/>
  <c r="H210" i="4"/>
  <c r="I210" i="4"/>
  <c r="J210" i="4"/>
  <c r="K210" i="4"/>
  <c r="B211" i="4"/>
  <c r="C211" i="4"/>
  <c r="D211" i="4"/>
  <c r="E211" i="4"/>
  <c r="F211" i="4"/>
  <c r="G211" i="4"/>
  <c r="H211" i="4"/>
  <c r="I211" i="4"/>
  <c r="J211" i="4"/>
  <c r="K211" i="4"/>
  <c r="B212" i="4"/>
  <c r="C212" i="4"/>
  <c r="D212" i="4"/>
  <c r="E212" i="4"/>
  <c r="F212" i="4"/>
  <c r="G212" i="4"/>
  <c r="H212" i="4"/>
  <c r="I212" i="4"/>
  <c r="J212" i="4"/>
  <c r="K212" i="4"/>
  <c r="B213" i="4"/>
  <c r="C213" i="4"/>
  <c r="D213" i="4"/>
  <c r="E213" i="4"/>
  <c r="F213" i="4"/>
  <c r="G213" i="4"/>
  <c r="H213" i="4"/>
  <c r="I213" i="4"/>
  <c r="J213" i="4"/>
  <c r="K213" i="4"/>
  <c r="B214" i="4"/>
  <c r="C214" i="4"/>
  <c r="D214" i="4"/>
  <c r="E214" i="4"/>
  <c r="F214" i="4"/>
  <c r="G214" i="4"/>
  <c r="H214" i="4"/>
  <c r="I214" i="4"/>
  <c r="J214" i="4"/>
  <c r="K214" i="4"/>
  <c r="B215" i="4"/>
  <c r="C215" i="4"/>
  <c r="D215" i="4"/>
  <c r="E215" i="4"/>
  <c r="F215" i="4"/>
  <c r="G215" i="4"/>
  <c r="H215" i="4"/>
  <c r="I215" i="4"/>
  <c r="J215" i="4"/>
  <c r="K215" i="4"/>
  <c r="B216" i="4"/>
  <c r="C216" i="4"/>
  <c r="D216" i="4"/>
  <c r="E216" i="4"/>
  <c r="F216" i="4"/>
  <c r="G216" i="4"/>
  <c r="H216" i="4"/>
  <c r="I216" i="4"/>
  <c r="J216" i="4"/>
  <c r="K216" i="4"/>
  <c r="B217" i="4"/>
  <c r="C217" i="4"/>
  <c r="D217" i="4"/>
  <c r="E217" i="4"/>
  <c r="F217" i="4"/>
  <c r="G217" i="4"/>
  <c r="H217" i="4"/>
  <c r="I217" i="4"/>
  <c r="J217" i="4"/>
  <c r="K217" i="4"/>
  <c r="B218" i="4"/>
  <c r="C218" i="4"/>
  <c r="D218" i="4"/>
  <c r="E218" i="4"/>
  <c r="F218" i="4"/>
  <c r="G218" i="4"/>
  <c r="H218" i="4"/>
  <c r="I218" i="4"/>
  <c r="J218" i="4"/>
  <c r="K218" i="4"/>
  <c r="B219" i="4"/>
  <c r="C219" i="4"/>
  <c r="D219" i="4"/>
  <c r="E219" i="4"/>
  <c r="F219" i="4"/>
  <c r="G219" i="4"/>
  <c r="H219" i="4"/>
  <c r="I219" i="4"/>
  <c r="J219" i="4"/>
  <c r="K219" i="4"/>
  <c r="B220" i="4"/>
  <c r="C220" i="4"/>
  <c r="D220" i="4"/>
  <c r="E220" i="4"/>
  <c r="F220" i="4"/>
  <c r="G220" i="4"/>
  <c r="H220" i="4"/>
  <c r="I220" i="4"/>
  <c r="J220" i="4"/>
  <c r="K220" i="4"/>
  <c r="B221" i="4"/>
  <c r="C221" i="4"/>
  <c r="D221" i="4"/>
  <c r="E221" i="4"/>
  <c r="F221" i="4"/>
  <c r="G221" i="4"/>
  <c r="H221" i="4"/>
  <c r="I221" i="4"/>
  <c r="J221" i="4"/>
  <c r="K221" i="4"/>
  <c r="B222" i="4"/>
  <c r="C222" i="4"/>
  <c r="D222" i="4"/>
  <c r="E222" i="4"/>
  <c r="F222" i="4"/>
  <c r="G222" i="4"/>
  <c r="H222" i="4"/>
  <c r="I222" i="4"/>
  <c r="J222" i="4"/>
  <c r="K222" i="4"/>
  <c r="B223" i="4"/>
  <c r="C223" i="4"/>
  <c r="D223" i="4"/>
  <c r="E223" i="4"/>
  <c r="F223" i="4"/>
  <c r="G223" i="4"/>
  <c r="H223" i="4"/>
  <c r="I223" i="4"/>
  <c r="J223" i="4"/>
  <c r="K223" i="4"/>
  <c r="B224" i="4"/>
  <c r="C224" i="4"/>
  <c r="D224" i="4"/>
  <c r="E224" i="4"/>
  <c r="F224" i="4"/>
  <c r="G224" i="4"/>
  <c r="H224" i="4"/>
  <c r="I224" i="4"/>
  <c r="J224" i="4"/>
  <c r="K224" i="4"/>
  <c r="B225" i="4"/>
  <c r="C225" i="4"/>
  <c r="D225" i="4"/>
  <c r="E225" i="4"/>
  <c r="F225" i="4"/>
  <c r="G225" i="4"/>
  <c r="H225" i="4"/>
  <c r="I225" i="4"/>
  <c r="J225" i="4"/>
  <c r="K225" i="4"/>
  <c r="B226" i="4"/>
  <c r="C226" i="4"/>
  <c r="D226" i="4"/>
  <c r="E226" i="4"/>
  <c r="F226" i="4"/>
  <c r="G226" i="4"/>
  <c r="H226" i="4"/>
  <c r="I226" i="4"/>
  <c r="J226" i="4"/>
  <c r="K226" i="4"/>
  <c r="B227" i="4"/>
  <c r="C227" i="4"/>
  <c r="D227" i="4"/>
  <c r="E227" i="4"/>
  <c r="F227" i="4"/>
  <c r="G227" i="4"/>
  <c r="H227" i="4"/>
  <c r="I227" i="4"/>
  <c r="J227" i="4"/>
  <c r="K227" i="4"/>
  <c r="B228" i="4"/>
  <c r="C228" i="4"/>
  <c r="D228" i="4"/>
  <c r="E228" i="4"/>
  <c r="F228" i="4"/>
  <c r="G228" i="4"/>
  <c r="H228" i="4"/>
  <c r="I228" i="4"/>
  <c r="J228" i="4"/>
  <c r="K228" i="4"/>
  <c r="B229" i="4"/>
  <c r="C229" i="4"/>
  <c r="D229" i="4"/>
  <c r="E229" i="4"/>
  <c r="F229" i="4"/>
  <c r="G229" i="4"/>
  <c r="H229" i="4"/>
  <c r="I229" i="4"/>
  <c r="J229" i="4"/>
  <c r="K229" i="4"/>
  <c r="B230" i="4"/>
  <c r="C230" i="4"/>
  <c r="D230" i="4"/>
  <c r="E230" i="4"/>
  <c r="F230" i="4"/>
  <c r="G230" i="4"/>
  <c r="H230" i="4"/>
  <c r="I230" i="4"/>
  <c r="J230" i="4"/>
  <c r="K230" i="4"/>
  <c r="B231" i="4"/>
  <c r="C231" i="4"/>
  <c r="D231" i="4"/>
  <c r="E231" i="4"/>
  <c r="F231" i="4"/>
  <c r="G231" i="4"/>
  <c r="H231" i="4"/>
  <c r="I231" i="4"/>
  <c r="J231" i="4"/>
  <c r="K231" i="4"/>
  <c r="B232" i="4"/>
  <c r="C232" i="4"/>
  <c r="D232" i="4"/>
  <c r="E232" i="4"/>
  <c r="F232" i="4"/>
  <c r="G232" i="4"/>
  <c r="H232" i="4"/>
  <c r="I232" i="4"/>
  <c r="J232" i="4"/>
  <c r="K232" i="4"/>
  <c r="B233" i="4"/>
  <c r="C233" i="4"/>
  <c r="D233" i="4"/>
  <c r="E233" i="4"/>
  <c r="F233" i="4"/>
  <c r="G233" i="4"/>
  <c r="H233" i="4"/>
  <c r="I233" i="4"/>
  <c r="J233" i="4"/>
  <c r="K233" i="4"/>
  <c r="B234" i="4"/>
  <c r="C234" i="4"/>
  <c r="D234" i="4"/>
  <c r="E234" i="4"/>
  <c r="F234" i="4"/>
  <c r="G234" i="4"/>
  <c r="H234" i="4"/>
  <c r="I234" i="4"/>
  <c r="J234" i="4"/>
  <c r="K234" i="4"/>
  <c r="B235" i="4"/>
  <c r="C235" i="4"/>
  <c r="D235" i="4"/>
  <c r="E235" i="4"/>
  <c r="F235" i="4"/>
  <c r="G235" i="4"/>
  <c r="H235" i="4"/>
  <c r="I235" i="4"/>
  <c r="J235" i="4"/>
  <c r="K235" i="4"/>
  <c r="B236" i="4"/>
  <c r="C236" i="4"/>
  <c r="D236" i="4"/>
  <c r="E236" i="4"/>
  <c r="F236" i="4"/>
  <c r="G236" i="4"/>
  <c r="H236" i="4"/>
  <c r="I236" i="4"/>
  <c r="J236" i="4"/>
  <c r="K236" i="4"/>
  <c r="B237" i="4"/>
  <c r="C237" i="4"/>
  <c r="D237" i="4"/>
  <c r="E237" i="4"/>
  <c r="F237" i="4"/>
  <c r="G237" i="4"/>
  <c r="H237" i="4"/>
  <c r="I237" i="4"/>
  <c r="J237" i="4"/>
  <c r="K237" i="4"/>
  <c r="B238" i="4"/>
  <c r="C238" i="4"/>
  <c r="D238" i="4"/>
  <c r="E238" i="4"/>
  <c r="F238" i="4"/>
  <c r="G238" i="4"/>
  <c r="H238" i="4"/>
  <c r="I238" i="4"/>
  <c r="J238" i="4"/>
  <c r="K238" i="4"/>
  <c r="B239" i="4"/>
  <c r="C239" i="4"/>
  <c r="D239" i="4"/>
  <c r="E239" i="4"/>
  <c r="F239" i="4"/>
  <c r="G239" i="4"/>
  <c r="H239" i="4"/>
  <c r="I239" i="4"/>
  <c r="J239" i="4"/>
  <c r="K239" i="4"/>
  <c r="B240" i="4"/>
  <c r="C240" i="4"/>
  <c r="D240" i="4"/>
  <c r="E240" i="4"/>
  <c r="F240" i="4"/>
  <c r="G240" i="4"/>
  <c r="H240" i="4"/>
  <c r="I240" i="4"/>
  <c r="J240" i="4"/>
  <c r="K240" i="4"/>
  <c r="B241" i="4"/>
  <c r="C241" i="4"/>
  <c r="D241" i="4"/>
  <c r="E241" i="4"/>
  <c r="F241" i="4"/>
  <c r="G241" i="4"/>
  <c r="H241" i="4"/>
  <c r="I241" i="4"/>
  <c r="J241" i="4"/>
  <c r="K241" i="4"/>
  <c r="B242" i="4"/>
  <c r="C242" i="4"/>
  <c r="D242" i="4"/>
  <c r="E242" i="4"/>
  <c r="F242" i="4"/>
  <c r="G242" i="4"/>
  <c r="H242" i="4"/>
  <c r="I242" i="4"/>
  <c r="J242" i="4"/>
  <c r="K242" i="4"/>
  <c r="B243" i="4"/>
  <c r="C243" i="4"/>
  <c r="D243" i="4"/>
  <c r="E243" i="4"/>
  <c r="F243" i="4"/>
  <c r="G243" i="4"/>
  <c r="H243" i="4"/>
  <c r="I243" i="4"/>
  <c r="J243" i="4"/>
  <c r="K243" i="4"/>
  <c r="B244" i="4"/>
  <c r="C244" i="4"/>
  <c r="D244" i="4"/>
  <c r="E244" i="4"/>
  <c r="F244" i="4"/>
  <c r="G244" i="4"/>
  <c r="H244" i="4"/>
  <c r="I244" i="4"/>
  <c r="J244" i="4"/>
  <c r="K244" i="4"/>
  <c r="B245" i="4"/>
  <c r="C245" i="4"/>
  <c r="D245" i="4"/>
  <c r="E245" i="4"/>
  <c r="F245" i="4"/>
  <c r="G245" i="4"/>
  <c r="H245" i="4"/>
  <c r="I245" i="4"/>
  <c r="J245" i="4"/>
  <c r="K245" i="4"/>
  <c r="B246" i="4"/>
  <c r="C246" i="4"/>
  <c r="D246" i="4"/>
  <c r="E246" i="4"/>
  <c r="F246" i="4"/>
  <c r="G246" i="4"/>
  <c r="H246" i="4"/>
  <c r="I246" i="4"/>
  <c r="J246" i="4"/>
  <c r="K246" i="4"/>
  <c r="B247" i="4"/>
  <c r="C247" i="4"/>
  <c r="D247" i="4"/>
  <c r="E247" i="4"/>
  <c r="F247" i="4"/>
  <c r="G247" i="4"/>
  <c r="H247" i="4"/>
  <c r="I247" i="4"/>
  <c r="J247" i="4"/>
  <c r="K247" i="4"/>
  <c r="B248" i="4"/>
  <c r="C248" i="4"/>
  <c r="D248" i="4"/>
  <c r="E248" i="4"/>
  <c r="F248" i="4"/>
  <c r="G248" i="4"/>
  <c r="H248" i="4"/>
  <c r="I248" i="4"/>
  <c r="J248" i="4"/>
  <c r="K248" i="4"/>
  <c r="B249" i="4"/>
  <c r="C249" i="4"/>
  <c r="D249" i="4"/>
  <c r="E249" i="4"/>
  <c r="F249" i="4"/>
  <c r="G249" i="4"/>
  <c r="H249" i="4"/>
  <c r="I249" i="4"/>
  <c r="J249" i="4"/>
  <c r="K249" i="4"/>
  <c r="B250" i="4"/>
  <c r="C250" i="4"/>
  <c r="D250" i="4"/>
  <c r="E250" i="4"/>
  <c r="F250" i="4"/>
  <c r="G250" i="4"/>
  <c r="H250" i="4"/>
  <c r="I250" i="4"/>
  <c r="J250" i="4"/>
  <c r="K250" i="4"/>
  <c r="B251" i="4"/>
  <c r="C251" i="4"/>
  <c r="D251" i="4"/>
  <c r="E251" i="4"/>
  <c r="F251" i="4"/>
  <c r="G251" i="4"/>
  <c r="H251" i="4"/>
  <c r="I251" i="4"/>
  <c r="J251" i="4"/>
  <c r="K251" i="4"/>
  <c r="B252" i="4"/>
  <c r="C252" i="4"/>
  <c r="D252" i="4"/>
  <c r="E252" i="4"/>
  <c r="F252" i="4"/>
  <c r="G252" i="4"/>
  <c r="H252" i="4"/>
  <c r="I252" i="4"/>
  <c r="J252" i="4"/>
  <c r="K252" i="4"/>
  <c r="B253" i="4"/>
  <c r="C253" i="4"/>
  <c r="D253" i="4"/>
  <c r="E253" i="4"/>
  <c r="F253" i="4"/>
  <c r="G253" i="4"/>
  <c r="H253" i="4"/>
  <c r="I253" i="4"/>
  <c r="J253" i="4"/>
  <c r="K253" i="4"/>
  <c r="B254" i="4"/>
  <c r="C254" i="4"/>
  <c r="D254" i="4"/>
  <c r="E254" i="4"/>
  <c r="F254" i="4"/>
  <c r="G254" i="4"/>
  <c r="H254" i="4"/>
  <c r="I254" i="4"/>
  <c r="J254" i="4"/>
  <c r="K254" i="4"/>
  <c r="B255" i="4"/>
  <c r="C255" i="4"/>
  <c r="D255" i="4"/>
  <c r="E255" i="4"/>
  <c r="F255" i="4"/>
  <c r="G255" i="4"/>
  <c r="H255" i="4"/>
  <c r="I255" i="4"/>
  <c r="J255" i="4"/>
  <c r="K255" i="4"/>
  <c r="B256" i="4"/>
  <c r="C256" i="4"/>
  <c r="D256" i="4"/>
  <c r="E256" i="4"/>
  <c r="F256" i="4"/>
  <c r="G256" i="4"/>
  <c r="H256" i="4"/>
  <c r="I256" i="4"/>
  <c r="J256" i="4"/>
  <c r="K256" i="4"/>
  <c r="B257" i="4"/>
  <c r="C257" i="4"/>
  <c r="D257" i="4"/>
  <c r="E257" i="4"/>
  <c r="F257" i="4"/>
  <c r="G257" i="4"/>
  <c r="H257" i="4"/>
  <c r="I257" i="4"/>
  <c r="J257" i="4"/>
  <c r="K257" i="4"/>
  <c r="B258" i="4"/>
  <c r="C258" i="4"/>
  <c r="D258" i="4"/>
  <c r="E258" i="4"/>
  <c r="F258" i="4"/>
  <c r="G258" i="4"/>
  <c r="H258" i="4"/>
  <c r="I258" i="4"/>
  <c r="J258" i="4"/>
  <c r="K258" i="4"/>
  <c r="B259" i="4"/>
  <c r="C259" i="4"/>
  <c r="D259" i="4"/>
  <c r="E259" i="4"/>
  <c r="F259" i="4"/>
  <c r="G259" i="4"/>
  <c r="H259" i="4"/>
  <c r="I259" i="4"/>
  <c r="J259" i="4"/>
  <c r="K259" i="4"/>
  <c r="B260" i="4"/>
  <c r="C260" i="4"/>
  <c r="D260" i="4"/>
  <c r="E260" i="4"/>
  <c r="F260" i="4"/>
  <c r="G260" i="4"/>
  <c r="H260" i="4"/>
  <c r="I260" i="4"/>
  <c r="J260" i="4"/>
  <c r="K260" i="4"/>
  <c r="B261" i="4"/>
  <c r="C261" i="4"/>
  <c r="D261" i="4"/>
  <c r="E261" i="4"/>
  <c r="F261" i="4"/>
  <c r="G261" i="4"/>
  <c r="H261" i="4"/>
  <c r="I261" i="4"/>
  <c r="J261" i="4"/>
  <c r="K261" i="4"/>
  <c r="B262" i="4"/>
  <c r="C262" i="4"/>
  <c r="D262" i="4"/>
  <c r="E262" i="4"/>
  <c r="F262" i="4"/>
  <c r="G262" i="4"/>
  <c r="H262" i="4"/>
  <c r="I262" i="4"/>
  <c r="J262" i="4"/>
  <c r="K262" i="4"/>
  <c r="B263" i="4"/>
  <c r="C263" i="4"/>
  <c r="D263" i="4"/>
  <c r="E263" i="4"/>
  <c r="F263" i="4"/>
  <c r="G263" i="4"/>
  <c r="H263" i="4"/>
  <c r="I263" i="4"/>
  <c r="J263" i="4"/>
  <c r="K263" i="4"/>
  <c r="B264" i="4"/>
  <c r="C264" i="4"/>
  <c r="D264" i="4"/>
  <c r="E264" i="4"/>
  <c r="F264" i="4"/>
  <c r="G264" i="4"/>
  <c r="H264" i="4"/>
  <c r="I264" i="4"/>
  <c r="J264" i="4"/>
  <c r="K264" i="4"/>
  <c r="B265" i="4"/>
  <c r="C265" i="4"/>
  <c r="D265" i="4"/>
  <c r="E265" i="4"/>
  <c r="F265" i="4"/>
  <c r="G265" i="4"/>
  <c r="H265" i="4"/>
  <c r="I265" i="4"/>
  <c r="J265" i="4"/>
  <c r="K265" i="4"/>
  <c r="B266" i="4"/>
  <c r="C266" i="4"/>
  <c r="D266" i="4"/>
  <c r="E266" i="4"/>
  <c r="F266" i="4"/>
  <c r="G266" i="4"/>
  <c r="H266" i="4"/>
  <c r="I266" i="4"/>
  <c r="J266" i="4"/>
  <c r="K266" i="4"/>
  <c r="B267" i="4"/>
  <c r="C267" i="4"/>
  <c r="D267" i="4"/>
  <c r="E267" i="4"/>
  <c r="F267" i="4"/>
  <c r="G267" i="4"/>
  <c r="H267" i="4"/>
  <c r="I267" i="4"/>
  <c r="J267" i="4"/>
  <c r="K267" i="4"/>
  <c r="B268" i="4"/>
  <c r="C268" i="4"/>
  <c r="D268" i="4"/>
  <c r="E268" i="4"/>
  <c r="F268" i="4"/>
  <c r="G268" i="4"/>
  <c r="H268" i="4"/>
  <c r="I268" i="4"/>
  <c r="J268" i="4"/>
  <c r="K268" i="4"/>
  <c r="B269" i="4"/>
  <c r="C269" i="4"/>
  <c r="D269" i="4"/>
  <c r="E269" i="4"/>
  <c r="F269" i="4"/>
  <c r="G269" i="4"/>
  <c r="H269" i="4"/>
  <c r="I269" i="4"/>
  <c r="J269" i="4"/>
  <c r="K269" i="4"/>
  <c r="B270" i="4"/>
  <c r="C270" i="4"/>
  <c r="D270" i="4"/>
  <c r="E270" i="4"/>
  <c r="F270" i="4"/>
  <c r="G270" i="4"/>
  <c r="H270" i="4"/>
  <c r="I270" i="4"/>
  <c r="J270" i="4"/>
  <c r="K270" i="4"/>
  <c r="B271" i="4"/>
  <c r="C271" i="4"/>
  <c r="D271" i="4"/>
  <c r="E271" i="4"/>
  <c r="F271" i="4"/>
  <c r="G271" i="4"/>
  <c r="H271" i="4"/>
  <c r="I271" i="4"/>
  <c r="J271" i="4"/>
  <c r="K271" i="4"/>
  <c r="B272" i="4"/>
  <c r="C272" i="4"/>
  <c r="D272" i="4"/>
  <c r="E272" i="4"/>
  <c r="F272" i="4"/>
  <c r="G272" i="4"/>
  <c r="H272" i="4"/>
  <c r="I272" i="4"/>
  <c r="J272" i="4"/>
  <c r="K272" i="4"/>
  <c r="B273" i="4"/>
  <c r="C273" i="4"/>
  <c r="D273" i="4"/>
  <c r="E273" i="4"/>
  <c r="F273" i="4"/>
  <c r="G273" i="4"/>
  <c r="H273" i="4"/>
  <c r="I273" i="4"/>
  <c r="J273" i="4"/>
  <c r="K273" i="4"/>
  <c r="B274" i="4"/>
  <c r="C274" i="4"/>
  <c r="D274" i="4"/>
  <c r="E274" i="4"/>
  <c r="F274" i="4"/>
  <c r="G274" i="4"/>
  <c r="H274" i="4"/>
  <c r="I274" i="4"/>
  <c r="J274" i="4"/>
  <c r="K274" i="4"/>
  <c r="B275" i="4"/>
  <c r="C275" i="4"/>
  <c r="D275" i="4"/>
  <c r="E275" i="4"/>
  <c r="F275" i="4"/>
  <c r="G275" i="4"/>
  <c r="H275" i="4"/>
  <c r="I275" i="4"/>
  <c r="J275" i="4"/>
  <c r="K275" i="4"/>
  <c r="B276" i="4"/>
  <c r="C276" i="4"/>
  <c r="D276" i="4"/>
  <c r="E276" i="4"/>
  <c r="F276" i="4"/>
  <c r="G276" i="4"/>
  <c r="H276" i="4"/>
  <c r="I276" i="4"/>
  <c r="J276" i="4"/>
  <c r="K276" i="4"/>
  <c r="B277" i="4"/>
  <c r="C277" i="4"/>
  <c r="D277" i="4"/>
  <c r="E277" i="4"/>
  <c r="F277" i="4"/>
  <c r="G277" i="4"/>
  <c r="H277" i="4"/>
  <c r="I277" i="4"/>
  <c r="J277" i="4"/>
  <c r="K277" i="4"/>
  <c r="B278" i="4"/>
  <c r="C278" i="4"/>
  <c r="D278" i="4"/>
  <c r="E278" i="4"/>
  <c r="F278" i="4"/>
  <c r="G278" i="4"/>
  <c r="H278" i="4"/>
  <c r="I278" i="4"/>
  <c r="J278" i="4"/>
  <c r="K278" i="4"/>
  <c r="B279" i="4"/>
  <c r="C279" i="4"/>
  <c r="D279" i="4"/>
  <c r="E279" i="4"/>
  <c r="F279" i="4"/>
  <c r="G279" i="4"/>
  <c r="H279" i="4"/>
  <c r="I279" i="4"/>
  <c r="J279" i="4"/>
  <c r="K279" i="4"/>
  <c r="B280" i="4"/>
  <c r="C280" i="4"/>
  <c r="D280" i="4"/>
  <c r="E280" i="4"/>
  <c r="F280" i="4"/>
  <c r="G280" i="4"/>
  <c r="H280" i="4"/>
  <c r="I280" i="4"/>
  <c r="J280" i="4"/>
  <c r="K280" i="4"/>
  <c r="B281" i="4"/>
  <c r="C281" i="4"/>
  <c r="D281" i="4"/>
  <c r="E281" i="4"/>
  <c r="F281" i="4"/>
  <c r="G281" i="4"/>
  <c r="H281" i="4"/>
  <c r="I281" i="4"/>
  <c r="J281" i="4"/>
  <c r="K281" i="4"/>
  <c r="B282" i="4"/>
  <c r="C282" i="4"/>
  <c r="D282" i="4"/>
  <c r="E282" i="4"/>
  <c r="F282" i="4"/>
  <c r="G282" i="4"/>
  <c r="H282" i="4"/>
  <c r="I282" i="4"/>
  <c r="J282" i="4"/>
  <c r="K282" i="4"/>
  <c r="B283" i="4"/>
  <c r="C283" i="4"/>
  <c r="D283" i="4"/>
  <c r="E283" i="4"/>
  <c r="F283" i="4"/>
  <c r="G283" i="4"/>
  <c r="H283" i="4"/>
  <c r="I283" i="4"/>
  <c r="J283" i="4"/>
  <c r="K283" i="4"/>
  <c r="B284" i="4"/>
  <c r="C284" i="4"/>
  <c r="D284" i="4"/>
  <c r="E284" i="4"/>
  <c r="F284" i="4"/>
  <c r="G284" i="4"/>
  <c r="H284" i="4"/>
  <c r="I284" i="4"/>
  <c r="J284" i="4"/>
  <c r="K284" i="4"/>
  <c r="B285" i="4"/>
  <c r="C285" i="4"/>
  <c r="D285" i="4"/>
  <c r="E285" i="4"/>
  <c r="F285" i="4"/>
  <c r="G285" i="4"/>
  <c r="H285" i="4"/>
  <c r="I285" i="4"/>
  <c r="J285" i="4"/>
  <c r="K285" i="4"/>
  <c r="B286" i="4"/>
  <c r="C286" i="4"/>
  <c r="D286" i="4"/>
  <c r="E286" i="4"/>
  <c r="F286" i="4"/>
  <c r="G286" i="4"/>
  <c r="H286" i="4"/>
  <c r="I286" i="4"/>
  <c r="J286" i="4"/>
  <c r="K286" i="4"/>
  <c r="B287" i="4"/>
  <c r="C287" i="4"/>
  <c r="D287" i="4"/>
  <c r="E287" i="4"/>
  <c r="F287" i="4"/>
  <c r="G287" i="4"/>
  <c r="H287" i="4"/>
  <c r="I287" i="4"/>
  <c r="J287" i="4"/>
  <c r="K287" i="4"/>
  <c r="B288" i="4"/>
  <c r="C288" i="4"/>
  <c r="D288" i="4"/>
  <c r="E288" i="4"/>
  <c r="F288" i="4"/>
  <c r="G288" i="4"/>
  <c r="H288" i="4"/>
  <c r="I288" i="4"/>
  <c r="J288" i="4"/>
  <c r="K288" i="4"/>
  <c r="B289" i="4"/>
  <c r="C289" i="4"/>
  <c r="D289" i="4"/>
  <c r="E289" i="4"/>
  <c r="F289" i="4"/>
  <c r="G289" i="4"/>
  <c r="H289" i="4"/>
  <c r="I289" i="4"/>
  <c r="J289" i="4"/>
  <c r="K289" i="4"/>
  <c r="B290" i="4"/>
  <c r="C290" i="4"/>
  <c r="D290" i="4"/>
  <c r="E290" i="4"/>
  <c r="F290" i="4"/>
  <c r="G290" i="4"/>
  <c r="H290" i="4"/>
  <c r="I290" i="4"/>
  <c r="J290" i="4"/>
  <c r="K290" i="4"/>
  <c r="B291" i="4"/>
  <c r="C291" i="4"/>
  <c r="D291" i="4"/>
  <c r="E291" i="4"/>
  <c r="F291" i="4"/>
  <c r="G291" i="4"/>
  <c r="H291" i="4"/>
  <c r="I291" i="4"/>
  <c r="J291" i="4"/>
  <c r="K291" i="4"/>
  <c r="B292" i="4"/>
  <c r="C292" i="4"/>
  <c r="D292" i="4"/>
  <c r="E292" i="4"/>
  <c r="F292" i="4"/>
  <c r="G292" i="4"/>
  <c r="H292" i="4"/>
  <c r="I292" i="4"/>
  <c r="J292" i="4"/>
  <c r="K292" i="4"/>
  <c r="B293" i="4"/>
  <c r="C293" i="4"/>
  <c r="D293" i="4"/>
  <c r="E293" i="4"/>
  <c r="F293" i="4"/>
  <c r="G293" i="4"/>
  <c r="H293" i="4"/>
  <c r="I293" i="4"/>
  <c r="J293" i="4"/>
  <c r="K293" i="4"/>
  <c r="B294" i="4"/>
  <c r="C294" i="4"/>
  <c r="D294" i="4"/>
  <c r="E294" i="4"/>
  <c r="F294" i="4"/>
  <c r="G294" i="4"/>
  <c r="H294" i="4"/>
  <c r="I294" i="4"/>
  <c r="J294" i="4"/>
  <c r="K294" i="4"/>
  <c r="B295" i="4"/>
  <c r="C295" i="4"/>
  <c r="D295" i="4"/>
  <c r="E295" i="4"/>
  <c r="F295" i="4"/>
  <c r="G295" i="4"/>
  <c r="H295" i="4"/>
  <c r="I295" i="4"/>
  <c r="J295" i="4"/>
  <c r="K295" i="4"/>
  <c r="B296" i="4"/>
  <c r="C296" i="4"/>
  <c r="D296" i="4"/>
  <c r="E296" i="4"/>
  <c r="F296" i="4"/>
  <c r="G296" i="4"/>
  <c r="H296" i="4"/>
  <c r="I296" i="4"/>
  <c r="J296" i="4"/>
  <c r="K296" i="4"/>
  <c r="B297" i="4"/>
  <c r="C297" i="4"/>
  <c r="D297" i="4"/>
  <c r="E297" i="4"/>
  <c r="F297" i="4"/>
  <c r="G297" i="4"/>
  <c r="H297" i="4"/>
  <c r="I297" i="4"/>
  <c r="J297" i="4"/>
  <c r="K297" i="4"/>
  <c r="B298" i="4"/>
  <c r="C298" i="4"/>
  <c r="D298" i="4"/>
  <c r="E298" i="4"/>
  <c r="F298" i="4"/>
  <c r="G298" i="4"/>
  <c r="H298" i="4"/>
  <c r="I298" i="4"/>
  <c r="J298" i="4"/>
  <c r="K298" i="4"/>
  <c r="B299" i="4"/>
  <c r="C299" i="4"/>
  <c r="D299" i="4"/>
  <c r="E299" i="4"/>
  <c r="F299" i="4"/>
  <c r="G299" i="4"/>
  <c r="H299" i="4"/>
  <c r="I299" i="4"/>
  <c r="J299" i="4"/>
  <c r="K299" i="4"/>
  <c r="B300" i="4"/>
  <c r="C300" i="4"/>
  <c r="D300" i="4"/>
  <c r="E300" i="4"/>
  <c r="F300" i="4"/>
  <c r="G300" i="4"/>
  <c r="H300" i="4"/>
  <c r="I300" i="4"/>
  <c r="J300" i="4"/>
  <c r="K300" i="4"/>
  <c r="B301" i="4"/>
  <c r="C301" i="4"/>
  <c r="D301" i="4"/>
  <c r="E301" i="4"/>
  <c r="F301" i="4"/>
  <c r="G301" i="4"/>
  <c r="H301" i="4"/>
  <c r="I301" i="4"/>
  <c r="J301" i="4"/>
  <c r="K301" i="4"/>
  <c r="B302" i="4"/>
  <c r="C302" i="4"/>
  <c r="D302" i="4"/>
  <c r="E302" i="4"/>
  <c r="F302" i="4"/>
  <c r="G302" i="4"/>
  <c r="H302" i="4"/>
  <c r="I302" i="4"/>
  <c r="J302" i="4"/>
  <c r="K302" i="4"/>
  <c r="B303" i="4"/>
  <c r="C303" i="4"/>
  <c r="D303" i="4"/>
  <c r="E303" i="4"/>
  <c r="F303" i="4"/>
  <c r="G303" i="4"/>
  <c r="H303" i="4"/>
  <c r="I303" i="4"/>
  <c r="J303" i="4"/>
  <c r="K303" i="4"/>
  <c r="B304" i="4"/>
  <c r="C304" i="4"/>
  <c r="D304" i="4"/>
  <c r="E304" i="4"/>
  <c r="F304" i="4"/>
  <c r="G304" i="4"/>
  <c r="H304" i="4"/>
  <c r="I304" i="4"/>
  <c r="J304" i="4"/>
  <c r="K304" i="4"/>
  <c r="B305" i="4"/>
  <c r="C305" i="4"/>
  <c r="D305" i="4"/>
  <c r="E305" i="4"/>
  <c r="F305" i="4"/>
  <c r="G305" i="4"/>
  <c r="H305" i="4"/>
  <c r="I305" i="4"/>
  <c r="J305" i="4"/>
  <c r="K305" i="4"/>
  <c r="B306" i="4"/>
  <c r="C306" i="4"/>
  <c r="D306" i="4"/>
  <c r="E306" i="4"/>
  <c r="F306" i="4"/>
  <c r="G306" i="4"/>
  <c r="H306" i="4"/>
  <c r="I306" i="4"/>
  <c r="J306" i="4"/>
  <c r="K306" i="4"/>
  <c r="B307" i="4"/>
  <c r="C307" i="4"/>
  <c r="D307" i="4"/>
  <c r="E307" i="4"/>
  <c r="F307" i="4"/>
  <c r="G307" i="4"/>
  <c r="H307" i="4"/>
  <c r="I307" i="4"/>
  <c r="J307" i="4"/>
  <c r="K307" i="4"/>
  <c r="B308" i="4"/>
  <c r="C308" i="4"/>
  <c r="D308" i="4"/>
  <c r="E308" i="4"/>
  <c r="F308" i="4"/>
  <c r="G308" i="4"/>
  <c r="H308" i="4"/>
  <c r="I308" i="4"/>
  <c r="J308" i="4"/>
  <c r="K308" i="4"/>
  <c r="B309" i="4"/>
  <c r="C309" i="4"/>
  <c r="D309" i="4"/>
  <c r="E309" i="4"/>
  <c r="F309" i="4"/>
  <c r="G309" i="4"/>
  <c r="H309" i="4"/>
  <c r="I309" i="4"/>
  <c r="J309" i="4"/>
  <c r="K309" i="4"/>
  <c r="B310" i="4"/>
  <c r="C310" i="4"/>
  <c r="D310" i="4"/>
  <c r="E310" i="4"/>
  <c r="F310" i="4"/>
  <c r="G310" i="4"/>
  <c r="H310" i="4"/>
  <c r="I310" i="4"/>
  <c r="J310" i="4"/>
  <c r="K310" i="4"/>
  <c r="B311" i="4"/>
  <c r="C311" i="4"/>
  <c r="D311" i="4"/>
  <c r="E311" i="4"/>
  <c r="F311" i="4"/>
  <c r="G311" i="4"/>
  <c r="H311" i="4"/>
  <c r="I311" i="4"/>
  <c r="J311" i="4"/>
  <c r="K311" i="4"/>
  <c r="B312" i="4"/>
  <c r="C312" i="4"/>
  <c r="D312" i="4"/>
  <c r="E312" i="4"/>
  <c r="F312" i="4"/>
  <c r="G312" i="4"/>
  <c r="H312" i="4"/>
  <c r="I312" i="4"/>
  <c r="J312" i="4"/>
  <c r="K312" i="4"/>
  <c r="B313" i="4"/>
  <c r="C313" i="4"/>
  <c r="D313" i="4"/>
  <c r="E313" i="4"/>
  <c r="F313" i="4"/>
  <c r="G313" i="4"/>
  <c r="H313" i="4"/>
  <c r="I313" i="4"/>
  <c r="J313" i="4"/>
  <c r="K313" i="4"/>
  <c r="B314" i="4"/>
  <c r="C314" i="4"/>
  <c r="D314" i="4"/>
  <c r="E314" i="4"/>
  <c r="F314" i="4"/>
  <c r="G314" i="4"/>
  <c r="H314" i="4"/>
  <c r="I314" i="4"/>
  <c r="J314" i="4"/>
  <c r="K314" i="4"/>
  <c r="B315" i="4"/>
  <c r="C315" i="4"/>
  <c r="D315" i="4"/>
  <c r="E315" i="4"/>
  <c r="F315" i="4"/>
  <c r="G315" i="4"/>
  <c r="H315" i="4"/>
  <c r="I315" i="4"/>
  <c r="J315" i="4"/>
  <c r="K315" i="4"/>
  <c r="B316" i="4"/>
  <c r="C316" i="4"/>
  <c r="D316" i="4"/>
  <c r="E316" i="4"/>
  <c r="F316" i="4"/>
  <c r="G316" i="4"/>
  <c r="H316" i="4"/>
  <c r="I316" i="4"/>
  <c r="J316" i="4"/>
  <c r="K316" i="4"/>
  <c r="B317" i="4"/>
  <c r="C317" i="4"/>
  <c r="D317" i="4"/>
  <c r="E317" i="4"/>
  <c r="F317" i="4"/>
  <c r="G317" i="4"/>
  <c r="H317" i="4"/>
  <c r="I317" i="4"/>
  <c r="J317" i="4"/>
  <c r="K317" i="4"/>
  <c r="B318" i="4"/>
  <c r="C318" i="4"/>
  <c r="D318" i="4"/>
  <c r="E318" i="4"/>
  <c r="F318" i="4"/>
  <c r="G318" i="4"/>
  <c r="H318" i="4"/>
  <c r="I318" i="4"/>
  <c r="J318" i="4"/>
  <c r="K318" i="4"/>
  <c r="B319" i="4"/>
  <c r="C319" i="4"/>
  <c r="D319" i="4"/>
  <c r="E319" i="4"/>
  <c r="F319" i="4"/>
  <c r="G319" i="4"/>
  <c r="H319" i="4"/>
  <c r="I319" i="4"/>
  <c r="J319" i="4"/>
  <c r="K319" i="4"/>
  <c r="B320" i="4"/>
  <c r="C320" i="4"/>
  <c r="D320" i="4"/>
  <c r="E320" i="4"/>
  <c r="F320" i="4"/>
  <c r="G320" i="4"/>
  <c r="H320" i="4"/>
  <c r="I320" i="4"/>
  <c r="J320" i="4"/>
  <c r="K320" i="4"/>
  <c r="B321" i="4"/>
  <c r="C321" i="4"/>
  <c r="D321" i="4"/>
  <c r="E321" i="4"/>
  <c r="F321" i="4"/>
  <c r="G321" i="4"/>
  <c r="H321" i="4"/>
  <c r="I321" i="4"/>
  <c r="J321" i="4"/>
  <c r="K321" i="4"/>
  <c r="B322" i="4"/>
  <c r="C322" i="4"/>
  <c r="D322" i="4"/>
  <c r="E322" i="4"/>
  <c r="F322" i="4"/>
  <c r="G322" i="4"/>
  <c r="H322" i="4"/>
  <c r="I322" i="4"/>
  <c r="J322" i="4"/>
  <c r="K322" i="4"/>
  <c r="B323" i="4"/>
  <c r="C323" i="4"/>
  <c r="D323" i="4"/>
  <c r="E323" i="4"/>
  <c r="F323" i="4"/>
  <c r="G323" i="4"/>
  <c r="H323" i="4"/>
  <c r="I323" i="4"/>
  <c r="J323" i="4"/>
  <c r="K323" i="4"/>
  <c r="B324" i="4"/>
  <c r="C324" i="4"/>
  <c r="D324" i="4"/>
  <c r="E324" i="4"/>
  <c r="F324" i="4"/>
  <c r="G324" i="4"/>
  <c r="H324" i="4"/>
  <c r="I324" i="4"/>
  <c r="J324" i="4"/>
  <c r="K324" i="4"/>
  <c r="B325" i="4"/>
  <c r="C325" i="4"/>
  <c r="D325" i="4"/>
  <c r="E325" i="4"/>
  <c r="F325" i="4"/>
  <c r="G325" i="4"/>
  <c r="H325" i="4"/>
  <c r="I325" i="4"/>
  <c r="J325" i="4"/>
  <c r="K325" i="4"/>
  <c r="B326" i="4"/>
  <c r="C326" i="4"/>
  <c r="D326" i="4"/>
  <c r="E326" i="4"/>
  <c r="F326" i="4"/>
  <c r="G326" i="4"/>
  <c r="H326" i="4"/>
  <c r="I326" i="4"/>
  <c r="J326" i="4"/>
  <c r="K326" i="4"/>
  <c r="B327" i="4"/>
  <c r="C327" i="4"/>
  <c r="D327" i="4"/>
  <c r="E327" i="4"/>
  <c r="F327" i="4"/>
  <c r="G327" i="4"/>
  <c r="H327" i="4"/>
  <c r="I327" i="4"/>
  <c r="J327" i="4"/>
  <c r="K327" i="4"/>
  <c r="B328" i="4"/>
  <c r="C328" i="4"/>
  <c r="D328" i="4"/>
  <c r="E328" i="4"/>
  <c r="F328" i="4"/>
  <c r="G328" i="4"/>
  <c r="H328" i="4"/>
  <c r="I328" i="4"/>
  <c r="J328" i="4"/>
  <c r="K328" i="4"/>
  <c r="B329" i="4"/>
  <c r="C329" i="4"/>
  <c r="D329" i="4"/>
  <c r="E329" i="4"/>
  <c r="F329" i="4"/>
  <c r="G329" i="4"/>
  <c r="H329" i="4"/>
  <c r="I329" i="4"/>
  <c r="J329" i="4"/>
  <c r="K329" i="4"/>
  <c r="B330" i="4"/>
  <c r="C330" i="4"/>
  <c r="D330" i="4"/>
  <c r="E330" i="4"/>
  <c r="F330" i="4"/>
  <c r="G330" i="4"/>
  <c r="H330" i="4"/>
  <c r="I330" i="4"/>
  <c r="J330" i="4"/>
  <c r="K330" i="4"/>
  <c r="B331" i="4"/>
  <c r="C331" i="4"/>
  <c r="D331" i="4"/>
  <c r="E331" i="4"/>
  <c r="F331" i="4"/>
  <c r="G331" i="4"/>
  <c r="H331" i="4"/>
  <c r="I331" i="4"/>
  <c r="J331" i="4"/>
  <c r="K331" i="4"/>
  <c r="B332" i="4"/>
  <c r="C332" i="4"/>
  <c r="D332" i="4"/>
  <c r="E332" i="4"/>
  <c r="F332" i="4"/>
  <c r="G332" i="4"/>
  <c r="H332" i="4"/>
  <c r="I332" i="4"/>
  <c r="J332" i="4"/>
  <c r="K332" i="4"/>
  <c r="B333" i="4"/>
  <c r="C333" i="4"/>
  <c r="D333" i="4"/>
  <c r="E333" i="4"/>
  <c r="F333" i="4"/>
  <c r="G333" i="4"/>
  <c r="H333" i="4"/>
  <c r="I333" i="4"/>
  <c r="J333" i="4"/>
  <c r="K333" i="4"/>
  <c r="B334" i="4"/>
  <c r="C334" i="4"/>
  <c r="D334" i="4"/>
  <c r="E334" i="4"/>
  <c r="F334" i="4"/>
  <c r="G334" i="4"/>
  <c r="H334" i="4"/>
  <c r="I334" i="4"/>
  <c r="J334" i="4"/>
  <c r="K334" i="4"/>
  <c r="B335" i="4"/>
  <c r="C335" i="4"/>
  <c r="D335" i="4"/>
  <c r="E335" i="4"/>
  <c r="F335" i="4"/>
  <c r="G335" i="4"/>
  <c r="H335" i="4"/>
  <c r="I335" i="4"/>
  <c r="J335" i="4"/>
  <c r="K335" i="4"/>
  <c r="B336" i="4"/>
  <c r="C336" i="4"/>
  <c r="D336" i="4"/>
  <c r="E336" i="4"/>
  <c r="F336" i="4"/>
  <c r="G336" i="4"/>
  <c r="H336" i="4"/>
  <c r="I336" i="4"/>
  <c r="J336" i="4"/>
  <c r="K336" i="4"/>
  <c r="B337" i="4"/>
  <c r="C337" i="4"/>
  <c r="D337" i="4"/>
  <c r="E337" i="4"/>
  <c r="F337" i="4"/>
  <c r="G337" i="4"/>
  <c r="H337" i="4"/>
  <c r="I337" i="4"/>
  <c r="J337" i="4"/>
  <c r="K337" i="4"/>
  <c r="B338" i="4"/>
  <c r="C338" i="4"/>
  <c r="D338" i="4"/>
  <c r="E338" i="4"/>
  <c r="F338" i="4"/>
  <c r="G338" i="4"/>
  <c r="H338" i="4"/>
  <c r="I338" i="4"/>
  <c r="J338" i="4"/>
  <c r="K338" i="4"/>
  <c r="B339" i="4"/>
  <c r="C339" i="4"/>
  <c r="D339" i="4"/>
  <c r="E339" i="4"/>
  <c r="F339" i="4"/>
  <c r="G339" i="4"/>
  <c r="H339" i="4"/>
  <c r="I339" i="4"/>
  <c r="J339" i="4"/>
  <c r="K339" i="4"/>
  <c r="B340" i="4"/>
  <c r="C340" i="4"/>
  <c r="D340" i="4"/>
  <c r="E340" i="4"/>
  <c r="F340" i="4"/>
  <c r="G340" i="4"/>
  <c r="H340" i="4"/>
  <c r="I340" i="4"/>
  <c r="J340" i="4"/>
  <c r="K340" i="4"/>
  <c r="B341" i="4"/>
  <c r="C341" i="4"/>
  <c r="D341" i="4"/>
  <c r="E341" i="4"/>
  <c r="F341" i="4"/>
  <c r="G341" i="4"/>
  <c r="H341" i="4"/>
  <c r="I341" i="4"/>
  <c r="J341" i="4"/>
  <c r="K341" i="4"/>
  <c r="B342" i="4"/>
  <c r="C342" i="4"/>
  <c r="D342" i="4"/>
  <c r="E342" i="4"/>
  <c r="F342" i="4"/>
  <c r="G342" i="4"/>
  <c r="H342" i="4"/>
  <c r="I342" i="4"/>
  <c r="J342" i="4"/>
  <c r="K342" i="4"/>
  <c r="B343" i="4"/>
  <c r="C343" i="4"/>
  <c r="D343" i="4"/>
  <c r="E343" i="4"/>
  <c r="F343" i="4"/>
  <c r="G343" i="4"/>
  <c r="H343" i="4"/>
  <c r="I343" i="4"/>
  <c r="J343" i="4"/>
  <c r="K343" i="4"/>
  <c r="B344" i="4"/>
  <c r="C344" i="4"/>
  <c r="D344" i="4"/>
  <c r="E344" i="4"/>
  <c r="F344" i="4"/>
  <c r="G344" i="4"/>
  <c r="H344" i="4"/>
  <c r="I344" i="4"/>
  <c r="J344" i="4"/>
  <c r="K344" i="4"/>
  <c r="B345" i="4"/>
  <c r="C345" i="4"/>
  <c r="D345" i="4"/>
  <c r="E345" i="4"/>
  <c r="F345" i="4"/>
  <c r="G345" i="4"/>
  <c r="H345" i="4"/>
  <c r="I345" i="4"/>
  <c r="J345" i="4"/>
  <c r="K345" i="4"/>
  <c r="B346" i="4"/>
  <c r="C346" i="4"/>
  <c r="D346" i="4"/>
  <c r="E346" i="4"/>
  <c r="F346" i="4"/>
  <c r="G346" i="4"/>
  <c r="H346" i="4"/>
  <c r="I346" i="4"/>
  <c r="J346" i="4"/>
  <c r="K346" i="4"/>
  <c r="B347" i="4"/>
  <c r="C347" i="4"/>
  <c r="D347" i="4"/>
  <c r="E347" i="4"/>
  <c r="F347" i="4"/>
  <c r="G347" i="4"/>
  <c r="H347" i="4"/>
  <c r="I347" i="4"/>
  <c r="J347" i="4"/>
  <c r="K347" i="4"/>
  <c r="B348" i="4"/>
  <c r="C348" i="4"/>
  <c r="D348" i="4"/>
  <c r="E348" i="4"/>
  <c r="F348" i="4"/>
  <c r="G348" i="4"/>
  <c r="H348" i="4"/>
  <c r="I348" i="4"/>
  <c r="J348" i="4"/>
  <c r="K348" i="4"/>
  <c r="B349" i="4"/>
  <c r="C349" i="4"/>
  <c r="D349" i="4"/>
  <c r="E349" i="4"/>
  <c r="F349" i="4"/>
  <c r="G349" i="4"/>
  <c r="H349" i="4"/>
  <c r="I349" i="4"/>
  <c r="J349" i="4"/>
  <c r="K349" i="4"/>
  <c r="B350" i="4"/>
  <c r="C350" i="4"/>
  <c r="D350" i="4"/>
  <c r="E350" i="4"/>
  <c r="F350" i="4"/>
  <c r="G350" i="4"/>
  <c r="H350" i="4"/>
  <c r="I350" i="4"/>
  <c r="J350" i="4"/>
  <c r="K350" i="4"/>
  <c r="B351" i="4"/>
  <c r="C351" i="4"/>
  <c r="D351" i="4"/>
  <c r="E351" i="4"/>
  <c r="F351" i="4"/>
  <c r="G351" i="4"/>
  <c r="H351" i="4"/>
  <c r="I351" i="4"/>
  <c r="J351" i="4"/>
  <c r="K351" i="4"/>
  <c r="B352" i="4"/>
  <c r="C352" i="4"/>
  <c r="D352" i="4"/>
  <c r="E352" i="4"/>
  <c r="F352" i="4"/>
  <c r="G352" i="4"/>
  <c r="H352" i="4"/>
  <c r="I352" i="4"/>
  <c r="J352" i="4"/>
  <c r="K352" i="4"/>
  <c r="B353" i="4"/>
  <c r="C353" i="4"/>
  <c r="D353" i="4"/>
  <c r="E353" i="4"/>
  <c r="F353" i="4"/>
  <c r="G353" i="4"/>
  <c r="H353" i="4"/>
  <c r="I353" i="4"/>
  <c r="J353" i="4"/>
  <c r="K353" i="4"/>
  <c r="B354" i="4"/>
  <c r="C354" i="4"/>
  <c r="D354" i="4"/>
  <c r="E354" i="4"/>
  <c r="F354" i="4"/>
  <c r="G354" i="4"/>
  <c r="H354" i="4"/>
  <c r="I354" i="4"/>
  <c r="J354" i="4"/>
  <c r="K354" i="4"/>
  <c r="B355" i="4"/>
  <c r="C355" i="4"/>
  <c r="D355" i="4"/>
  <c r="E355" i="4"/>
  <c r="F355" i="4"/>
  <c r="G355" i="4"/>
  <c r="H355" i="4"/>
  <c r="I355" i="4"/>
  <c r="J355" i="4"/>
  <c r="K355" i="4"/>
  <c r="B356" i="4"/>
  <c r="C356" i="4"/>
  <c r="D356" i="4"/>
  <c r="E356" i="4"/>
  <c r="F356" i="4"/>
  <c r="G356" i="4"/>
  <c r="H356" i="4"/>
  <c r="I356" i="4"/>
  <c r="J356" i="4"/>
  <c r="K356" i="4"/>
  <c r="B357" i="4"/>
  <c r="C357" i="4"/>
  <c r="D357" i="4"/>
  <c r="E357" i="4"/>
  <c r="F357" i="4"/>
  <c r="G357" i="4"/>
  <c r="H357" i="4"/>
  <c r="I357" i="4"/>
  <c r="J357" i="4"/>
  <c r="K357" i="4"/>
  <c r="B358" i="4"/>
  <c r="C358" i="4"/>
  <c r="D358" i="4"/>
  <c r="E358" i="4"/>
  <c r="F358" i="4"/>
  <c r="G358" i="4"/>
  <c r="H358" i="4"/>
  <c r="I358" i="4"/>
  <c r="J358" i="4"/>
  <c r="K358" i="4"/>
  <c r="B359" i="4"/>
  <c r="C359" i="4"/>
  <c r="D359" i="4"/>
  <c r="E359" i="4"/>
  <c r="F359" i="4"/>
  <c r="G359" i="4"/>
  <c r="H359" i="4"/>
  <c r="I359" i="4"/>
  <c r="J359" i="4"/>
  <c r="K359" i="4"/>
  <c r="B360" i="4"/>
  <c r="C360" i="4"/>
  <c r="D360" i="4"/>
  <c r="E360" i="4"/>
  <c r="F360" i="4"/>
  <c r="G360" i="4"/>
  <c r="H360" i="4"/>
  <c r="I360" i="4"/>
  <c r="J360" i="4"/>
  <c r="K360" i="4"/>
  <c r="B361" i="4"/>
  <c r="C361" i="4"/>
  <c r="D361" i="4"/>
  <c r="E361" i="4"/>
  <c r="F361" i="4"/>
  <c r="G361" i="4"/>
  <c r="H361" i="4"/>
  <c r="I361" i="4"/>
  <c r="J361" i="4"/>
  <c r="K361" i="4"/>
  <c r="B362" i="4"/>
  <c r="C362" i="4"/>
  <c r="D362" i="4"/>
  <c r="E362" i="4"/>
  <c r="F362" i="4"/>
  <c r="G362" i="4"/>
  <c r="H362" i="4"/>
  <c r="I362" i="4"/>
  <c r="J362" i="4"/>
  <c r="K362" i="4"/>
  <c r="B363" i="4"/>
  <c r="C363" i="4"/>
  <c r="D363" i="4"/>
  <c r="E363" i="4"/>
  <c r="F363" i="4"/>
  <c r="G363" i="4"/>
  <c r="H363" i="4"/>
  <c r="I363" i="4"/>
  <c r="J363" i="4"/>
  <c r="K363" i="4"/>
  <c r="B364" i="4"/>
  <c r="C364" i="4"/>
  <c r="D364" i="4"/>
  <c r="E364" i="4"/>
  <c r="F364" i="4"/>
  <c r="G364" i="4"/>
  <c r="H364" i="4"/>
  <c r="I364" i="4"/>
  <c r="J364" i="4"/>
  <c r="K364" i="4"/>
  <c r="B365" i="4"/>
  <c r="C365" i="4"/>
  <c r="D365" i="4"/>
  <c r="E365" i="4"/>
  <c r="F365" i="4"/>
  <c r="G365" i="4"/>
  <c r="H365" i="4"/>
  <c r="I365" i="4"/>
  <c r="J365" i="4"/>
  <c r="K365" i="4"/>
  <c r="B366" i="4"/>
  <c r="C366" i="4"/>
  <c r="D366" i="4"/>
  <c r="E366" i="4"/>
  <c r="F366" i="4"/>
  <c r="G366" i="4"/>
  <c r="H366" i="4"/>
  <c r="I366" i="4"/>
  <c r="J366" i="4"/>
  <c r="K366" i="4"/>
  <c r="B367" i="4"/>
  <c r="C367" i="4"/>
  <c r="D367" i="4"/>
  <c r="E367" i="4"/>
  <c r="F367" i="4"/>
  <c r="G367" i="4"/>
  <c r="H367" i="4"/>
  <c r="I367" i="4"/>
  <c r="J367" i="4"/>
  <c r="K367" i="4"/>
  <c r="B368" i="4"/>
  <c r="C368" i="4"/>
  <c r="D368" i="4"/>
  <c r="E368" i="4"/>
  <c r="F368" i="4"/>
  <c r="G368" i="4"/>
  <c r="H368" i="4"/>
  <c r="I368" i="4"/>
  <c r="J368" i="4"/>
  <c r="K368" i="4"/>
  <c r="B369" i="4"/>
  <c r="C369" i="4"/>
  <c r="D369" i="4"/>
  <c r="E369" i="4"/>
  <c r="F369" i="4"/>
  <c r="G369" i="4"/>
  <c r="H369" i="4"/>
  <c r="I369" i="4"/>
  <c r="J369" i="4"/>
  <c r="K369" i="4"/>
  <c r="B370" i="4"/>
  <c r="C370" i="4"/>
  <c r="D370" i="4"/>
  <c r="E370" i="4"/>
  <c r="F370" i="4"/>
  <c r="G370" i="4"/>
  <c r="H370" i="4"/>
  <c r="I370" i="4"/>
  <c r="J370" i="4"/>
  <c r="K370" i="4"/>
  <c r="B371" i="4"/>
  <c r="C371" i="4"/>
  <c r="D371" i="4"/>
  <c r="E371" i="4"/>
  <c r="F371" i="4"/>
  <c r="G371" i="4"/>
  <c r="H371" i="4"/>
  <c r="I371" i="4"/>
  <c r="J371" i="4"/>
  <c r="K371" i="4"/>
  <c r="B372" i="4"/>
  <c r="C372" i="4"/>
  <c r="D372" i="4"/>
  <c r="E372" i="4"/>
  <c r="F372" i="4"/>
  <c r="G372" i="4"/>
  <c r="H372" i="4"/>
  <c r="I372" i="4"/>
  <c r="J372" i="4"/>
  <c r="K372" i="4"/>
  <c r="B373" i="4"/>
  <c r="C373" i="4"/>
  <c r="D373" i="4"/>
  <c r="E373" i="4"/>
  <c r="F373" i="4"/>
  <c r="G373" i="4"/>
  <c r="H373" i="4"/>
  <c r="I373" i="4"/>
  <c r="J373" i="4"/>
  <c r="K373" i="4"/>
  <c r="B374" i="4"/>
  <c r="C374" i="4"/>
  <c r="D374" i="4"/>
  <c r="E374" i="4"/>
  <c r="F374" i="4"/>
  <c r="G374" i="4"/>
  <c r="H374" i="4"/>
  <c r="I374" i="4"/>
  <c r="J374" i="4"/>
  <c r="K374" i="4"/>
  <c r="B375" i="4"/>
  <c r="C375" i="4"/>
  <c r="D375" i="4"/>
  <c r="E375" i="4"/>
  <c r="F375" i="4"/>
  <c r="G375" i="4"/>
  <c r="H375" i="4"/>
  <c r="I375" i="4"/>
  <c r="J375" i="4"/>
  <c r="K375" i="4"/>
  <c r="B376" i="4"/>
  <c r="C376" i="4"/>
  <c r="D376" i="4"/>
  <c r="E376" i="4"/>
  <c r="F376" i="4"/>
  <c r="G376" i="4"/>
  <c r="H376" i="4"/>
  <c r="I376" i="4"/>
  <c r="J376" i="4"/>
  <c r="K376" i="4"/>
  <c r="B377" i="4"/>
  <c r="C377" i="4"/>
  <c r="D377" i="4"/>
  <c r="E377" i="4"/>
  <c r="F377" i="4"/>
  <c r="G377" i="4"/>
  <c r="H377" i="4"/>
  <c r="I377" i="4"/>
  <c r="J377" i="4"/>
  <c r="K377" i="4"/>
  <c r="B378" i="4"/>
  <c r="C378" i="4"/>
  <c r="D378" i="4"/>
  <c r="E378" i="4"/>
  <c r="F378" i="4"/>
  <c r="G378" i="4"/>
  <c r="H378" i="4"/>
  <c r="I378" i="4"/>
  <c r="J378" i="4"/>
  <c r="K378" i="4"/>
  <c r="B379" i="4"/>
  <c r="C379" i="4"/>
  <c r="D379" i="4"/>
  <c r="E379" i="4"/>
  <c r="F379" i="4"/>
  <c r="G379" i="4"/>
  <c r="H379" i="4"/>
  <c r="I379" i="4"/>
  <c r="J379" i="4"/>
  <c r="K379" i="4"/>
  <c r="B380" i="4"/>
  <c r="C380" i="4"/>
  <c r="D380" i="4"/>
  <c r="E380" i="4"/>
  <c r="F380" i="4"/>
  <c r="G380" i="4"/>
  <c r="H380" i="4"/>
  <c r="I380" i="4"/>
  <c r="J380" i="4"/>
  <c r="K380" i="4"/>
  <c r="B381" i="4"/>
  <c r="C381" i="4"/>
  <c r="D381" i="4"/>
  <c r="E381" i="4"/>
  <c r="F381" i="4"/>
  <c r="G381" i="4"/>
  <c r="H381" i="4"/>
  <c r="I381" i="4"/>
  <c r="J381" i="4"/>
  <c r="K381" i="4"/>
  <c r="B382" i="4"/>
  <c r="C382" i="4"/>
  <c r="D382" i="4"/>
  <c r="E382" i="4"/>
  <c r="F382" i="4"/>
  <c r="G382" i="4"/>
  <c r="H382" i="4"/>
  <c r="I382" i="4"/>
  <c r="J382" i="4"/>
  <c r="K382" i="4"/>
  <c r="B383" i="4"/>
  <c r="C383" i="4"/>
  <c r="D383" i="4"/>
  <c r="E383" i="4"/>
  <c r="F383" i="4"/>
  <c r="G383" i="4"/>
  <c r="H383" i="4"/>
  <c r="I383" i="4"/>
  <c r="J383" i="4"/>
  <c r="K383" i="4"/>
  <c r="B384" i="4"/>
  <c r="C384" i="4"/>
  <c r="D384" i="4"/>
  <c r="E384" i="4"/>
  <c r="F384" i="4"/>
  <c r="G384" i="4"/>
  <c r="H384" i="4"/>
  <c r="I384" i="4"/>
  <c r="J384" i="4"/>
  <c r="K384" i="4"/>
  <c r="B385" i="4"/>
  <c r="C385" i="4"/>
  <c r="D385" i="4"/>
  <c r="E385" i="4"/>
  <c r="F385" i="4"/>
  <c r="G385" i="4"/>
  <c r="H385" i="4"/>
  <c r="I385" i="4"/>
  <c r="J385" i="4"/>
  <c r="K385" i="4"/>
  <c r="B386" i="4"/>
  <c r="C386" i="4"/>
  <c r="D386" i="4"/>
  <c r="E386" i="4"/>
  <c r="F386" i="4"/>
  <c r="G386" i="4"/>
  <c r="H386" i="4"/>
  <c r="I386" i="4"/>
  <c r="J386" i="4"/>
  <c r="K386" i="4"/>
  <c r="B387" i="4"/>
  <c r="C387" i="4"/>
  <c r="D387" i="4"/>
  <c r="E387" i="4"/>
  <c r="F387" i="4"/>
  <c r="G387" i="4"/>
  <c r="H387" i="4"/>
  <c r="I387" i="4"/>
  <c r="J387" i="4"/>
  <c r="K387" i="4"/>
  <c r="B388" i="4"/>
  <c r="C388" i="4"/>
  <c r="D388" i="4"/>
  <c r="E388" i="4"/>
  <c r="F388" i="4"/>
  <c r="G388" i="4"/>
  <c r="H388" i="4"/>
  <c r="I388" i="4"/>
  <c r="J388" i="4"/>
  <c r="K388" i="4"/>
  <c r="B389" i="4"/>
  <c r="C389" i="4"/>
  <c r="D389" i="4"/>
  <c r="E389" i="4"/>
  <c r="F389" i="4"/>
  <c r="G389" i="4"/>
  <c r="H389" i="4"/>
  <c r="I389" i="4"/>
  <c r="J389" i="4"/>
  <c r="K389" i="4"/>
  <c r="B390" i="4"/>
  <c r="C390" i="4"/>
  <c r="D390" i="4"/>
  <c r="E390" i="4"/>
  <c r="F390" i="4"/>
  <c r="G390" i="4"/>
  <c r="H390" i="4"/>
  <c r="I390" i="4"/>
  <c r="J390" i="4"/>
  <c r="K390" i="4"/>
  <c r="B391" i="4"/>
  <c r="C391" i="4"/>
  <c r="D391" i="4"/>
  <c r="E391" i="4"/>
  <c r="F391" i="4"/>
  <c r="G391" i="4"/>
  <c r="H391" i="4"/>
  <c r="I391" i="4"/>
  <c r="J391" i="4"/>
  <c r="K391" i="4"/>
  <c r="B392" i="4"/>
  <c r="C392" i="4"/>
  <c r="D392" i="4"/>
  <c r="E392" i="4"/>
  <c r="F392" i="4"/>
  <c r="G392" i="4"/>
  <c r="H392" i="4"/>
  <c r="I392" i="4"/>
  <c r="J392" i="4"/>
  <c r="K392" i="4"/>
  <c r="B393" i="4"/>
  <c r="C393" i="4"/>
  <c r="D393" i="4"/>
  <c r="E393" i="4"/>
  <c r="F393" i="4"/>
  <c r="G393" i="4"/>
  <c r="H393" i="4"/>
  <c r="I393" i="4"/>
  <c r="J393" i="4"/>
  <c r="K393" i="4"/>
  <c r="B394" i="4"/>
  <c r="C394" i="4"/>
  <c r="D394" i="4"/>
  <c r="E394" i="4"/>
  <c r="F394" i="4"/>
  <c r="G394" i="4"/>
  <c r="H394" i="4"/>
  <c r="I394" i="4"/>
  <c r="J394" i="4"/>
  <c r="K394" i="4"/>
  <c r="B395" i="4"/>
  <c r="C395" i="4"/>
  <c r="D395" i="4"/>
  <c r="E395" i="4"/>
  <c r="F395" i="4"/>
  <c r="G395" i="4"/>
  <c r="H395" i="4"/>
  <c r="I395" i="4"/>
  <c r="J395" i="4"/>
  <c r="K395" i="4"/>
  <c r="B396" i="4"/>
  <c r="C396" i="4"/>
  <c r="D396" i="4"/>
  <c r="E396" i="4"/>
  <c r="F396" i="4"/>
  <c r="G396" i="4"/>
  <c r="H396" i="4"/>
  <c r="I396" i="4"/>
  <c r="J396" i="4"/>
  <c r="K396" i="4"/>
  <c r="B397" i="4"/>
  <c r="C397" i="4"/>
  <c r="D397" i="4"/>
  <c r="E397" i="4"/>
  <c r="F397" i="4"/>
  <c r="G397" i="4"/>
  <c r="H397" i="4"/>
  <c r="I397" i="4"/>
  <c r="J397" i="4"/>
  <c r="K397" i="4"/>
  <c r="B398" i="4"/>
  <c r="C398" i="4"/>
  <c r="D398" i="4"/>
  <c r="E398" i="4"/>
  <c r="F398" i="4"/>
  <c r="G398" i="4"/>
  <c r="H398" i="4"/>
  <c r="I398" i="4"/>
  <c r="J398" i="4"/>
  <c r="K398" i="4"/>
  <c r="B399" i="4"/>
  <c r="C399" i="4"/>
  <c r="D399" i="4"/>
  <c r="E399" i="4"/>
  <c r="F399" i="4"/>
  <c r="G399" i="4"/>
  <c r="H399" i="4"/>
  <c r="I399" i="4"/>
  <c r="J399" i="4"/>
  <c r="K399" i="4"/>
  <c r="B400" i="4"/>
  <c r="C400" i="4"/>
  <c r="D400" i="4"/>
  <c r="E400" i="4"/>
  <c r="F400" i="4"/>
  <c r="G400" i="4"/>
  <c r="H400" i="4"/>
  <c r="I400" i="4"/>
  <c r="J400" i="4"/>
  <c r="K400" i="4"/>
  <c r="B401" i="4"/>
  <c r="C401" i="4"/>
  <c r="D401" i="4"/>
  <c r="E401" i="4"/>
  <c r="F401" i="4"/>
  <c r="G401" i="4"/>
  <c r="H401" i="4"/>
  <c r="I401" i="4"/>
  <c r="J401" i="4"/>
  <c r="K401" i="4"/>
  <c r="B402" i="4"/>
  <c r="C402" i="4"/>
  <c r="D402" i="4"/>
  <c r="E402" i="4"/>
  <c r="F402" i="4"/>
  <c r="G402" i="4"/>
  <c r="H402" i="4"/>
  <c r="I402" i="4"/>
  <c r="J402" i="4"/>
  <c r="K402" i="4"/>
  <c r="B403" i="4"/>
  <c r="C403" i="4"/>
  <c r="D403" i="4"/>
  <c r="E403" i="4"/>
  <c r="F403" i="4"/>
  <c r="G403" i="4"/>
  <c r="H403" i="4"/>
  <c r="I403" i="4"/>
  <c r="J403" i="4"/>
  <c r="K403" i="4"/>
  <c r="B404" i="4"/>
  <c r="C404" i="4"/>
  <c r="D404" i="4"/>
  <c r="E404" i="4"/>
  <c r="F404" i="4"/>
  <c r="G404" i="4"/>
  <c r="H404" i="4"/>
  <c r="I404" i="4"/>
  <c r="J404" i="4"/>
  <c r="K404" i="4"/>
  <c r="B405" i="4"/>
  <c r="C405" i="4"/>
  <c r="D405" i="4"/>
  <c r="E405" i="4"/>
  <c r="F405" i="4"/>
  <c r="G405" i="4"/>
  <c r="H405" i="4"/>
  <c r="I405" i="4"/>
  <c r="J405" i="4"/>
  <c r="K405" i="4"/>
  <c r="B406" i="4"/>
  <c r="C406" i="4"/>
  <c r="D406" i="4"/>
  <c r="E406" i="4"/>
  <c r="F406" i="4"/>
  <c r="G406" i="4"/>
  <c r="H406" i="4"/>
  <c r="I406" i="4"/>
  <c r="J406" i="4"/>
  <c r="K406" i="4"/>
  <c r="B407" i="4"/>
  <c r="C407" i="4"/>
  <c r="D407" i="4"/>
  <c r="E407" i="4"/>
  <c r="F407" i="4"/>
  <c r="G407" i="4"/>
  <c r="H407" i="4"/>
  <c r="I407" i="4"/>
  <c r="J407" i="4"/>
  <c r="K407" i="4"/>
  <c r="B408" i="4"/>
  <c r="C408" i="4"/>
  <c r="D408" i="4"/>
  <c r="E408" i="4"/>
  <c r="F408" i="4"/>
  <c r="G408" i="4"/>
  <c r="H408" i="4"/>
  <c r="I408" i="4"/>
  <c r="J408" i="4"/>
  <c r="K408" i="4"/>
  <c r="B409" i="4"/>
  <c r="C409" i="4"/>
  <c r="D409" i="4"/>
  <c r="E409" i="4"/>
  <c r="F409" i="4"/>
  <c r="G409" i="4"/>
  <c r="H409" i="4"/>
  <c r="I409" i="4"/>
  <c r="J409" i="4"/>
  <c r="K409" i="4"/>
  <c r="B410" i="4"/>
  <c r="C410" i="4"/>
  <c r="D410" i="4"/>
  <c r="E410" i="4"/>
  <c r="F410" i="4"/>
  <c r="G410" i="4"/>
  <c r="H410" i="4"/>
  <c r="I410" i="4"/>
  <c r="J410" i="4"/>
  <c r="K410" i="4"/>
  <c r="B411" i="4"/>
  <c r="C411" i="4"/>
  <c r="D411" i="4"/>
  <c r="E411" i="4"/>
  <c r="F411" i="4"/>
  <c r="G411" i="4"/>
  <c r="H411" i="4"/>
  <c r="I411" i="4"/>
  <c r="J411" i="4"/>
  <c r="K411" i="4"/>
  <c r="B412" i="4"/>
  <c r="C412" i="4"/>
  <c r="D412" i="4"/>
  <c r="E412" i="4"/>
  <c r="F412" i="4"/>
  <c r="G412" i="4"/>
  <c r="H412" i="4"/>
  <c r="I412" i="4"/>
  <c r="J412" i="4"/>
  <c r="K412" i="4"/>
  <c r="B413" i="4"/>
  <c r="C413" i="4"/>
  <c r="D413" i="4"/>
  <c r="E413" i="4"/>
  <c r="F413" i="4"/>
  <c r="G413" i="4"/>
  <c r="H413" i="4"/>
  <c r="I413" i="4"/>
  <c r="J413" i="4"/>
  <c r="K413" i="4"/>
  <c r="B414" i="4"/>
  <c r="C414" i="4"/>
  <c r="D414" i="4"/>
  <c r="E414" i="4"/>
  <c r="F414" i="4"/>
  <c r="G414" i="4"/>
  <c r="H414" i="4"/>
  <c r="I414" i="4"/>
  <c r="J414" i="4"/>
  <c r="K414" i="4"/>
  <c r="B415" i="4"/>
  <c r="C415" i="4"/>
  <c r="D415" i="4"/>
  <c r="E415" i="4"/>
  <c r="F415" i="4"/>
  <c r="G415" i="4"/>
  <c r="H415" i="4"/>
  <c r="I415" i="4"/>
  <c r="J415" i="4"/>
  <c r="K415" i="4"/>
  <c r="B416" i="4"/>
  <c r="C416" i="4"/>
  <c r="D416" i="4"/>
  <c r="E416" i="4"/>
  <c r="F416" i="4"/>
  <c r="G416" i="4"/>
  <c r="H416" i="4"/>
  <c r="I416" i="4"/>
  <c r="J416" i="4"/>
  <c r="K416" i="4"/>
  <c r="B417" i="4"/>
  <c r="C417" i="4"/>
  <c r="D417" i="4"/>
  <c r="E417" i="4"/>
  <c r="F417" i="4"/>
  <c r="G417" i="4"/>
  <c r="H417" i="4"/>
  <c r="I417" i="4"/>
  <c r="J417" i="4"/>
  <c r="K417" i="4"/>
  <c r="B418" i="4"/>
  <c r="C418" i="4"/>
  <c r="D418" i="4"/>
  <c r="E418" i="4"/>
  <c r="F418" i="4"/>
  <c r="G418" i="4"/>
  <c r="H418" i="4"/>
  <c r="I418" i="4"/>
  <c r="J418" i="4"/>
  <c r="K418" i="4"/>
  <c r="B419" i="4"/>
  <c r="C419" i="4"/>
  <c r="D419" i="4"/>
  <c r="E419" i="4"/>
  <c r="F419" i="4"/>
  <c r="G419" i="4"/>
  <c r="H419" i="4"/>
  <c r="I419" i="4"/>
  <c r="J419" i="4"/>
  <c r="K419" i="4"/>
  <c r="B420" i="4"/>
  <c r="C420" i="4"/>
  <c r="D420" i="4"/>
  <c r="E420" i="4"/>
  <c r="F420" i="4"/>
  <c r="G420" i="4"/>
  <c r="H420" i="4"/>
  <c r="I420" i="4"/>
  <c r="J420" i="4"/>
  <c r="K420" i="4"/>
  <c r="B421" i="4"/>
  <c r="C421" i="4"/>
  <c r="D421" i="4"/>
  <c r="E421" i="4"/>
  <c r="F421" i="4"/>
  <c r="G421" i="4"/>
  <c r="H421" i="4"/>
  <c r="I421" i="4"/>
  <c r="J421" i="4"/>
  <c r="K421" i="4"/>
  <c r="B422" i="4"/>
  <c r="C422" i="4"/>
  <c r="D422" i="4"/>
  <c r="E422" i="4"/>
  <c r="F422" i="4"/>
  <c r="G422" i="4"/>
  <c r="H422" i="4"/>
  <c r="I422" i="4"/>
  <c r="J422" i="4"/>
  <c r="K422" i="4"/>
  <c r="B423" i="4"/>
  <c r="C423" i="4"/>
  <c r="D423" i="4"/>
  <c r="E423" i="4"/>
  <c r="F423" i="4"/>
  <c r="G423" i="4"/>
  <c r="H423" i="4"/>
  <c r="I423" i="4"/>
  <c r="J423" i="4"/>
  <c r="K423" i="4"/>
  <c r="B424" i="4"/>
  <c r="C424" i="4"/>
  <c r="D424" i="4"/>
  <c r="E424" i="4"/>
  <c r="F424" i="4"/>
  <c r="G424" i="4"/>
  <c r="H424" i="4"/>
  <c r="I424" i="4"/>
  <c r="J424" i="4"/>
  <c r="K424" i="4"/>
  <c r="B425" i="4"/>
  <c r="C425" i="4"/>
  <c r="D425" i="4"/>
  <c r="E425" i="4"/>
  <c r="F425" i="4"/>
  <c r="G425" i="4"/>
  <c r="H425" i="4"/>
  <c r="I425" i="4"/>
  <c r="J425" i="4"/>
  <c r="K425" i="4"/>
  <c r="B426" i="4"/>
  <c r="C426" i="4"/>
  <c r="D426" i="4"/>
  <c r="E426" i="4"/>
  <c r="F426" i="4"/>
  <c r="G426" i="4"/>
  <c r="H426" i="4"/>
  <c r="I426" i="4"/>
  <c r="J426" i="4"/>
  <c r="K426" i="4"/>
  <c r="B427" i="4"/>
  <c r="C427" i="4"/>
  <c r="D427" i="4"/>
  <c r="E427" i="4"/>
  <c r="F427" i="4"/>
  <c r="G427" i="4"/>
  <c r="H427" i="4"/>
  <c r="I427" i="4"/>
  <c r="J427" i="4"/>
  <c r="K427" i="4"/>
  <c r="B428" i="4"/>
  <c r="C428" i="4"/>
  <c r="D428" i="4"/>
  <c r="E428" i="4"/>
  <c r="F428" i="4"/>
  <c r="G428" i="4"/>
  <c r="H428" i="4"/>
  <c r="I428" i="4"/>
  <c r="J428" i="4"/>
  <c r="K428" i="4"/>
  <c r="B429" i="4"/>
  <c r="C429" i="4"/>
  <c r="D429" i="4"/>
  <c r="E429" i="4"/>
  <c r="F429" i="4"/>
  <c r="G429" i="4"/>
  <c r="H429" i="4"/>
  <c r="I429" i="4"/>
  <c r="J429" i="4"/>
  <c r="K429" i="4"/>
  <c r="B430" i="4"/>
  <c r="C430" i="4"/>
  <c r="D430" i="4"/>
  <c r="E430" i="4"/>
  <c r="F430" i="4"/>
  <c r="G430" i="4"/>
  <c r="H430" i="4"/>
  <c r="I430" i="4"/>
  <c r="J430" i="4"/>
  <c r="K430" i="4"/>
  <c r="B431" i="4"/>
  <c r="C431" i="4"/>
  <c r="D431" i="4"/>
  <c r="E431" i="4"/>
  <c r="F431" i="4"/>
  <c r="G431" i="4"/>
  <c r="H431" i="4"/>
  <c r="I431" i="4"/>
  <c r="J431" i="4"/>
  <c r="K431" i="4"/>
  <c r="B432" i="4"/>
  <c r="C432" i="4"/>
  <c r="D432" i="4"/>
  <c r="E432" i="4"/>
  <c r="F432" i="4"/>
  <c r="G432" i="4"/>
  <c r="H432" i="4"/>
  <c r="I432" i="4"/>
  <c r="J432" i="4"/>
  <c r="K432" i="4"/>
  <c r="B433" i="4"/>
  <c r="C433" i="4"/>
  <c r="D433" i="4"/>
  <c r="E433" i="4"/>
  <c r="F433" i="4"/>
  <c r="G433" i="4"/>
  <c r="H433" i="4"/>
  <c r="I433" i="4"/>
  <c r="J433" i="4"/>
  <c r="K433" i="4"/>
  <c r="B434" i="4"/>
  <c r="C434" i="4"/>
  <c r="D434" i="4"/>
  <c r="E434" i="4"/>
  <c r="F434" i="4"/>
  <c r="G434" i="4"/>
  <c r="H434" i="4"/>
  <c r="I434" i="4"/>
  <c r="J434" i="4"/>
  <c r="K434" i="4"/>
  <c r="B435" i="4"/>
  <c r="C435" i="4"/>
  <c r="D435" i="4"/>
  <c r="E435" i="4"/>
  <c r="F435" i="4"/>
  <c r="G435" i="4"/>
  <c r="H435" i="4"/>
  <c r="I435" i="4"/>
  <c r="J435" i="4"/>
  <c r="K435" i="4"/>
  <c r="B436" i="4"/>
  <c r="C436" i="4"/>
  <c r="D436" i="4"/>
  <c r="E436" i="4"/>
  <c r="F436" i="4"/>
  <c r="G436" i="4"/>
  <c r="H436" i="4"/>
  <c r="I436" i="4"/>
  <c r="J436" i="4"/>
  <c r="K436" i="4"/>
  <c r="B437" i="4"/>
  <c r="C437" i="4"/>
  <c r="D437" i="4"/>
  <c r="E437" i="4"/>
  <c r="F437" i="4"/>
  <c r="G437" i="4"/>
  <c r="H437" i="4"/>
  <c r="I437" i="4"/>
  <c r="J437" i="4"/>
  <c r="K437" i="4"/>
  <c r="B438" i="4"/>
  <c r="C438" i="4"/>
  <c r="D438" i="4"/>
  <c r="E438" i="4"/>
  <c r="F438" i="4"/>
  <c r="G438" i="4"/>
  <c r="H438" i="4"/>
  <c r="I438" i="4"/>
  <c r="J438" i="4"/>
  <c r="K438" i="4"/>
  <c r="B439" i="4"/>
  <c r="C439" i="4"/>
  <c r="D439" i="4"/>
  <c r="E439" i="4"/>
  <c r="F439" i="4"/>
  <c r="G439" i="4"/>
  <c r="H439" i="4"/>
  <c r="I439" i="4"/>
  <c r="J439" i="4"/>
  <c r="K439" i="4"/>
  <c r="B440" i="4"/>
  <c r="C440" i="4"/>
  <c r="D440" i="4"/>
  <c r="E440" i="4"/>
  <c r="F440" i="4"/>
  <c r="G440" i="4"/>
  <c r="H440" i="4"/>
  <c r="I440" i="4"/>
  <c r="J440" i="4"/>
  <c r="K440" i="4"/>
  <c r="B441" i="4"/>
  <c r="C441" i="4"/>
  <c r="D441" i="4"/>
  <c r="E441" i="4"/>
  <c r="F441" i="4"/>
  <c r="G441" i="4"/>
  <c r="H441" i="4"/>
  <c r="I441" i="4"/>
  <c r="J441" i="4"/>
  <c r="K441" i="4"/>
  <c r="B442" i="4"/>
  <c r="C442" i="4"/>
  <c r="D442" i="4"/>
  <c r="E442" i="4"/>
  <c r="F442" i="4"/>
  <c r="G442" i="4"/>
  <c r="H442" i="4"/>
  <c r="I442" i="4"/>
  <c r="J442" i="4"/>
  <c r="K442" i="4"/>
  <c r="B443" i="4"/>
  <c r="C443" i="4"/>
  <c r="D443" i="4"/>
  <c r="E443" i="4"/>
  <c r="F443" i="4"/>
  <c r="G443" i="4"/>
  <c r="H443" i="4"/>
  <c r="I443" i="4"/>
  <c r="J443" i="4"/>
  <c r="K443" i="4"/>
  <c r="B444" i="4"/>
  <c r="C444" i="4"/>
  <c r="D444" i="4"/>
  <c r="E444" i="4"/>
  <c r="F444" i="4"/>
  <c r="G444" i="4"/>
  <c r="H444" i="4"/>
  <c r="I444" i="4"/>
  <c r="J444" i="4"/>
  <c r="K444" i="4"/>
  <c r="B445" i="4"/>
  <c r="C445" i="4"/>
  <c r="D445" i="4"/>
  <c r="E445" i="4"/>
  <c r="F445" i="4"/>
  <c r="G445" i="4"/>
  <c r="H445" i="4"/>
  <c r="I445" i="4"/>
  <c r="J445" i="4"/>
  <c r="K445" i="4"/>
  <c r="B446" i="4"/>
  <c r="C446" i="4"/>
  <c r="D446" i="4"/>
  <c r="E446" i="4"/>
  <c r="F446" i="4"/>
  <c r="G446" i="4"/>
  <c r="H446" i="4"/>
  <c r="I446" i="4"/>
  <c r="J446" i="4"/>
  <c r="K446" i="4"/>
  <c r="B447" i="4"/>
  <c r="C447" i="4"/>
  <c r="D447" i="4"/>
  <c r="E447" i="4"/>
  <c r="F447" i="4"/>
  <c r="G447" i="4"/>
  <c r="H447" i="4"/>
  <c r="I447" i="4"/>
  <c r="J447" i="4"/>
  <c r="K447" i="4"/>
  <c r="B448" i="4"/>
  <c r="C448" i="4"/>
  <c r="D448" i="4"/>
  <c r="E448" i="4"/>
  <c r="F448" i="4"/>
  <c r="G448" i="4"/>
  <c r="H448" i="4"/>
  <c r="I448" i="4"/>
  <c r="J448" i="4"/>
  <c r="K448" i="4"/>
  <c r="B449" i="4"/>
  <c r="C449" i="4"/>
  <c r="D449" i="4"/>
  <c r="E449" i="4"/>
  <c r="F449" i="4"/>
  <c r="G449" i="4"/>
  <c r="H449" i="4"/>
  <c r="I449" i="4"/>
  <c r="J449" i="4"/>
  <c r="K449" i="4"/>
  <c r="B450" i="4"/>
  <c r="C450" i="4"/>
  <c r="D450" i="4"/>
  <c r="E450" i="4"/>
  <c r="F450" i="4"/>
  <c r="G450" i="4"/>
  <c r="H450" i="4"/>
  <c r="I450" i="4"/>
  <c r="J450" i="4"/>
  <c r="K450" i="4"/>
  <c r="B451" i="4"/>
  <c r="C451" i="4"/>
  <c r="D451" i="4"/>
  <c r="E451" i="4"/>
  <c r="F451" i="4"/>
  <c r="G451" i="4"/>
  <c r="H451" i="4"/>
  <c r="I451" i="4"/>
  <c r="J451" i="4"/>
  <c r="K451" i="4"/>
  <c r="B452" i="4"/>
  <c r="C452" i="4"/>
  <c r="D452" i="4"/>
  <c r="E452" i="4"/>
  <c r="F452" i="4"/>
  <c r="G452" i="4"/>
  <c r="H452" i="4"/>
  <c r="I452" i="4"/>
  <c r="J452" i="4"/>
  <c r="K452" i="4"/>
  <c r="B453" i="4"/>
  <c r="C453" i="4"/>
  <c r="D453" i="4"/>
  <c r="E453" i="4"/>
  <c r="F453" i="4"/>
  <c r="G453" i="4"/>
  <c r="H453" i="4"/>
  <c r="I453" i="4"/>
  <c r="J453" i="4"/>
  <c r="K453" i="4"/>
  <c r="B454" i="4"/>
  <c r="C454" i="4"/>
  <c r="D454" i="4"/>
  <c r="E454" i="4"/>
  <c r="F454" i="4"/>
  <c r="G454" i="4"/>
  <c r="H454" i="4"/>
  <c r="I454" i="4"/>
  <c r="J454" i="4"/>
  <c r="K454" i="4"/>
  <c r="B455" i="4"/>
  <c r="C455" i="4"/>
  <c r="D455" i="4"/>
  <c r="E455" i="4"/>
  <c r="F455" i="4"/>
  <c r="G455" i="4"/>
  <c r="H455" i="4"/>
  <c r="I455" i="4"/>
  <c r="J455" i="4"/>
  <c r="K455" i="4"/>
  <c r="B456" i="4"/>
  <c r="C456" i="4"/>
  <c r="D456" i="4"/>
  <c r="E456" i="4"/>
  <c r="F456" i="4"/>
  <c r="G456" i="4"/>
  <c r="H456" i="4"/>
  <c r="I456" i="4"/>
  <c r="J456" i="4"/>
  <c r="K456" i="4"/>
  <c r="B457" i="4"/>
  <c r="C457" i="4"/>
  <c r="D457" i="4"/>
  <c r="E457" i="4"/>
  <c r="F457" i="4"/>
  <c r="G457" i="4"/>
  <c r="H457" i="4"/>
  <c r="I457" i="4"/>
  <c r="J457" i="4"/>
  <c r="K457" i="4"/>
  <c r="B458" i="4"/>
  <c r="C458" i="4"/>
  <c r="D458" i="4"/>
  <c r="E458" i="4"/>
  <c r="F458" i="4"/>
  <c r="G458" i="4"/>
  <c r="H458" i="4"/>
  <c r="I458" i="4"/>
  <c r="J458" i="4"/>
  <c r="K458" i="4"/>
  <c r="B459" i="4"/>
  <c r="C459" i="4"/>
  <c r="D459" i="4"/>
  <c r="E459" i="4"/>
  <c r="F459" i="4"/>
  <c r="G459" i="4"/>
  <c r="H459" i="4"/>
  <c r="I459" i="4"/>
  <c r="J459" i="4"/>
  <c r="K459" i="4"/>
  <c r="B460" i="4"/>
  <c r="C460" i="4"/>
  <c r="D460" i="4"/>
  <c r="E460" i="4"/>
  <c r="F460" i="4"/>
  <c r="G460" i="4"/>
  <c r="H460" i="4"/>
  <c r="I460" i="4"/>
  <c r="J460" i="4"/>
  <c r="K460" i="4"/>
  <c r="B461" i="4"/>
  <c r="C461" i="4"/>
  <c r="D461" i="4"/>
  <c r="E461" i="4"/>
  <c r="F461" i="4"/>
  <c r="G461" i="4"/>
  <c r="H461" i="4"/>
  <c r="I461" i="4"/>
  <c r="J461" i="4"/>
  <c r="K461" i="4"/>
  <c r="B462" i="4"/>
  <c r="C462" i="4"/>
  <c r="D462" i="4"/>
  <c r="E462" i="4"/>
  <c r="F462" i="4"/>
  <c r="G462" i="4"/>
  <c r="H462" i="4"/>
  <c r="I462" i="4"/>
  <c r="J462" i="4"/>
  <c r="K462" i="4"/>
  <c r="B463" i="4"/>
  <c r="C463" i="4"/>
  <c r="D463" i="4"/>
  <c r="E463" i="4"/>
  <c r="F463" i="4"/>
  <c r="G463" i="4"/>
  <c r="H463" i="4"/>
  <c r="I463" i="4"/>
  <c r="J463" i="4"/>
  <c r="K463" i="4"/>
  <c r="B464" i="4"/>
  <c r="C464" i="4"/>
  <c r="D464" i="4"/>
  <c r="E464" i="4"/>
  <c r="F464" i="4"/>
  <c r="G464" i="4"/>
  <c r="H464" i="4"/>
  <c r="I464" i="4"/>
  <c r="J464" i="4"/>
  <c r="K464" i="4"/>
  <c r="B465" i="4"/>
  <c r="C465" i="4"/>
  <c r="D465" i="4"/>
  <c r="E465" i="4"/>
  <c r="F465" i="4"/>
  <c r="G465" i="4"/>
  <c r="H465" i="4"/>
  <c r="I465" i="4"/>
  <c r="J465" i="4"/>
  <c r="K465" i="4"/>
  <c r="B466" i="4"/>
  <c r="C466" i="4"/>
  <c r="D466" i="4"/>
  <c r="E466" i="4"/>
  <c r="F466" i="4"/>
  <c r="G466" i="4"/>
  <c r="H466" i="4"/>
  <c r="I466" i="4"/>
  <c r="J466" i="4"/>
  <c r="K466" i="4"/>
  <c r="B467" i="4"/>
  <c r="C467" i="4"/>
  <c r="D467" i="4"/>
  <c r="E467" i="4"/>
  <c r="F467" i="4"/>
  <c r="G467" i="4"/>
  <c r="H467" i="4"/>
  <c r="I467" i="4"/>
  <c r="J467" i="4"/>
  <c r="K467" i="4"/>
  <c r="B468" i="4"/>
  <c r="C468" i="4"/>
  <c r="D468" i="4"/>
  <c r="E468" i="4"/>
  <c r="F468" i="4"/>
  <c r="G468" i="4"/>
  <c r="H468" i="4"/>
  <c r="I468" i="4"/>
  <c r="J468" i="4"/>
  <c r="K468" i="4"/>
  <c r="B469" i="4"/>
  <c r="C469" i="4"/>
  <c r="D469" i="4"/>
  <c r="E469" i="4"/>
  <c r="F469" i="4"/>
  <c r="G469" i="4"/>
  <c r="H469" i="4"/>
  <c r="I469" i="4"/>
  <c r="J469" i="4"/>
  <c r="K469" i="4"/>
  <c r="B470" i="4"/>
  <c r="C470" i="4"/>
  <c r="D470" i="4"/>
  <c r="E470" i="4"/>
  <c r="F470" i="4"/>
  <c r="G470" i="4"/>
  <c r="H470" i="4"/>
  <c r="I470" i="4"/>
  <c r="J470" i="4"/>
  <c r="K470" i="4"/>
  <c r="B471" i="4"/>
  <c r="C471" i="4"/>
  <c r="D471" i="4"/>
  <c r="E471" i="4"/>
  <c r="F471" i="4"/>
  <c r="G471" i="4"/>
  <c r="H471" i="4"/>
  <c r="I471" i="4"/>
  <c r="J471" i="4"/>
  <c r="K471" i="4"/>
  <c r="B472" i="4"/>
  <c r="C472" i="4"/>
  <c r="D472" i="4"/>
  <c r="E472" i="4"/>
  <c r="F472" i="4"/>
  <c r="G472" i="4"/>
  <c r="H472" i="4"/>
  <c r="I472" i="4"/>
  <c r="J472" i="4"/>
  <c r="K472" i="4"/>
  <c r="B473" i="4"/>
  <c r="C473" i="4"/>
  <c r="D473" i="4"/>
  <c r="E473" i="4"/>
  <c r="F473" i="4"/>
  <c r="G473" i="4"/>
  <c r="H473" i="4"/>
  <c r="I473" i="4"/>
  <c r="J473" i="4"/>
  <c r="K473" i="4"/>
  <c r="B474" i="4"/>
  <c r="C474" i="4"/>
  <c r="D474" i="4"/>
  <c r="E474" i="4"/>
  <c r="F474" i="4"/>
  <c r="G474" i="4"/>
  <c r="H474" i="4"/>
  <c r="I474" i="4"/>
  <c r="J474" i="4"/>
  <c r="K474" i="4"/>
  <c r="B475" i="4"/>
  <c r="C475" i="4"/>
  <c r="D475" i="4"/>
  <c r="E475" i="4"/>
  <c r="F475" i="4"/>
  <c r="G475" i="4"/>
  <c r="H475" i="4"/>
  <c r="I475" i="4"/>
  <c r="J475" i="4"/>
  <c r="K475" i="4"/>
  <c r="B476" i="4"/>
  <c r="C476" i="4"/>
  <c r="D476" i="4"/>
  <c r="E476" i="4"/>
  <c r="F476" i="4"/>
  <c r="G476" i="4"/>
  <c r="H476" i="4"/>
  <c r="I476" i="4"/>
  <c r="J476" i="4"/>
  <c r="K476" i="4"/>
  <c r="B477" i="4"/>
  <c r="C477" i="4"/>
  <c r="D477" i="4"/>
  <c r="E477" i="4"/>
  <c r="F477" i="4"/>
  <c r="G477" i="4"/>
  <c r="H477" i="4"/>
  <c r="I477" i="4"/>
  <c r="J477" i="4"/>
  <c r="K477" i="4"/>
  <c r="B478" i="4"/>
  <c r="C478" i="4"/>
  <c r="D478" i="4"/>
  <c r="E478" i="4"/>
  <c r="F478" i="4"/>
  <c r="G478" i="4"/>
  <c r="H478" i="4"/>
  <c r="I478" i="4"/>
  <c r="J478" i="4"/>
  <c r="K478" i="4"/>
  <c r="B479" i="4"/>
  <c r="C479" i="4"/>
  <c r="D479" i="4"/>
  <c r="E479" i="4"/>
  <c r="F479" i="4"/>
  <c r="G479" i="4"/>
  <c r="H479" i="4"/>
  <c r="I479" i="4"/>
  <c r="J479" i="4"/>
  <c r="K479" i="4"/>
  <c r="B480" i="4"/>
  <c r="C480" i="4"/>
  <c r="D480" i="4"/>
  <c r="E480" i="4"/>
  <c r="F480" i="4"/>
  <c r="G480" i="4"/>
  <c r="H480" i="4"/>
  <c r="I480" i="4"/>
  <c r="J480" i="4"/>
  <c r="K480" i="4"/>
  <c r="B481" i="4"/>
  <c r="C481" i="4"/>
  <c r="D481" i="4"/>
  <c r="E481" i="4"/>
  <c r="F481" i="4"/>
  <c r="G481" i="4"/>
  <c r="H481" i="4"/>
  <c r="I481" i="4"/>
  <c r="J481" i="4"/>
  <c r="K481" i="4"/>
  <c r="B482" i="4"/>
  <c r="C482" i="4"/>
  <c r="D482" i="4"/>
  <c r="E482" i="4"/>
  <c r="F482" i="4"/>
  <c r="G482" i="4"/>
  <c r="H482" i="4"/>
  <c r="I482" i="4"/>
  <c r="J482" i="4"/>
  <c r="K482" i="4"/>
  <c r="B483" i="4"/>
  <c r="C483" i="4"/>
  <c r="D483" i="4"/>
  <c r="E483" i="4"/>
  <c r="F483" i="4"/>
  <c r="G483" i="4"/>
  <c r="H483" i="4"/>
  <c r="I483" i="4"/>
  <c r="J483" i="4"/>
  <c r="K483" i="4"/>
  <c r="B484" i="4"/>
  <c r="C484" i="4"/>
  <c r="D484" i="4"/>
  <c r="E484" i="4"/>
  <c r="F484" i="4"/>
  <c r="G484" i="4"/>
  <c r="H484" i="4"/>
  <c r="I484" i="4"/>
  <c r="J484" i="4"/>
  <c r="K484" i="4"/>
  <c r="B485" i="4"/>
  <c r="C485" i="4"/>
  <c r="D485" i="4"/>
  <c r="E485" i="4"/>
  <c r="F485" i="4"/>
  <c r="G485" i="4"/>
  <c r="H485" i="4"/>
  <c r="I485" i="4"/>
  <c r="J485" i="4"/>
  <c r="K485" i="4"/>
  <c r="B486" i="4"/>
  <c r="C486" i="4"/>
  <c r="D486" i="4"/>
  <c r="E486" i="4"/>
  <c r="F486" i="4"/>
  <c r="G486" i="4"/>
  <c r="H486" i="4"/>
  <c r="I486" i="4"/>
  <c r="J486" i="4"/>
  <c r="K486" i="4"/>
  <c r="B487" i="4"/>
  <c r="C487" i="4"/>
  <c r="D487" i="4"/>
  <c r="E487" i="4"/>
  <c r="F487" i="4"/>
  <c r="G487" i="4"/>
  <c r="H487" i="4"/>
  <c r="I487" i="4"/>
  <c r="J487" i="4"/>
  <c r="K487" i="4"/>
  <c r="B488" i="4"/>
  <c r="C488" i="4"/>
  <c r="D488" i="4"/>
  <c r="E488" i="4"/>
  <c r="F488" i="4"/>
  <c r="G488" i="4"/>
  <c r="H488" i="4"/>
  <c r="I488" i="4"/>
  <c r="J488" i="4"/>
  <c r="K488" i="4"/>
  <c r="B489" i="4"/>
  <c r="C489" i="4"/>
  <c r="D489" i="4"/>
  <c r="E489" i="4"/>
  <c r="F489" i="4"/>
  <c r="G489" i="4"/>
  <c r="H489" i="4"/>
  <c r="I489" i="4"/>
  <c r="J489" i="4"/>
  <c r="K489" i="4"/>
  <c r="B490" i="4"/>
  <c r="C490" i="4"/>
  <c r="D490" i="4"/>
  <c r="E490" i="4"/>
  <c r="F490" i="4"/>
  <c r="G490" i="4"/>
  <c r="H490" i="4"/>
  <c r="I490" i="4"/>
  <c r="J490" i="4"/>
  <c r="K490" i="4"/>
  <c r="B491" i="4"/>
  <c r="C491" i="4"/>
  <c r="D491" i="4"/>
  <c r="E491" i="4"/>
  <c r="F491" i="4"/>
  <c r="G491" i="4"/>
  <c r="H491" i="4"/>
  <c r="I491" i="4"/>
  <c r="J491" i="4"/>
  <c r="K491" i="4"/>
  <c r="B492" i="4"/>
  <c r="C492" i="4"/>
  <c r="D492" i="4"/>
  <c r="E492" i="4"/>
  <c r="F492" i="4"/>
  <c r="G492" i="4"/>
  <c r="H492" i="4"/>
  <c r="I492" i="4"/>
  <c r="J492" i="4"/>
  <c r="K492" i="4"/>
  <c r="B493" i="4"/>
  <c r="C493" i="4"/>
  <c r="D493" i="4"/>
  <c r="E493" i="4"/>
  <c r="F493" i="4"/>
  <c r="G493" i="4"/>
  <c r="H493" i="4"/>
  <c r="I493" i="4"/>
  <c r="J493" i="4"/>
  <c r="K493" i="4"/>
  <c r="B494" i="4"/>
  <c r="C494" i="4"/>
  <c r="D494" i="4"/>
  <c r="E494" i="4"/>
  <c r="F494" i="4"/>
  <c r="G494" i="4"/>
  <c r="H494" i="4"/>
  <c r="I494" i="4"/>
  <c r="J494" i="4"/>
  <c r="K494" i="4"/>
  <c r="B495" i="4"/>
  <c r="C495" i="4"/>
  <c r="D495" i="4"/>
  <c r="E495" i="4"/>
  <c r="F495" i="4"/>
  <c r="G495" i="4"/>
  <c r="H495" i="4"/>
  <c r="I495" i="4"/>
  <c r="J495" i="4"/>
  <c r="K495" i="4"/>
  <c r="B496" i="4"/>
  <c r="C496" i="4"/>
  <c r="D496" i="4"/>
  <c r="E496" i="4"/>
  <c r="F496" i="4"/>
  <c r="G496" i="4"/>
  <c r="H496" i="4"/>
  <c r="I496" i="4"/>
  <c r="J496" i="4"/>
  <c r="K496" i="4"/>
  <c r="B497" i="4"/>
  <c r="C497" i="4"/>
  <c r="D497" i="4"/>
  <c r="E497" i="4"/>
  <c r="F497" i="4"/>
  <c r="G497" i="4"/>
  <c r="H497" i="4"/>
  <c r="I497" i="4"/>
  <c r="J497" i="4"/>
  <c r="K497" i="4"/>
  <c r="B498" i="4"/>
  <c r="C498" i="4"/>
  <c r="D498" i="4"/>
  <c r="E498" i="4"/>
  <c r="F498" i="4"/>
  <c r="G498" i="4"/>
  <c r="H498" i="4"/>
  <c r="I498" i="4"/>
  <c r="J498" i="4"/>
  <c r="K498" i="4"/>
  <c r="B499" i="4"/>
  <c r="C499" i="4"/>
  <c r="D499" i="4"/>
  <c r="E499" i="4"/>
  <c r="F499" i="4"/>
  <c r="G499" i="4"/>
  <c r="H499" i="4"/>
  <c r="I499" i="4"/>
  <c r="J499" i="4"/>
  <c r="K499" i="4"/>
  <c r="B500" i="4"/>
  <c r="C500" i="4"/>
  <c r="D500" i="4"/>
  <c r="E500" i="4"/>
  <c r="F500" i="4"/>
  <c r="G500" i="4"/>
  <c r="H500" i="4"/>
  <c r="I500" i="4"/>
  <c r="J500" i="4"/>
  <c r="K500" i="4"/>
  <c r="B501" i="4"/>
  <c r="C501" i="4"/>
  <c r="D501" i="4"/>
  <c r="E501" i="4"/>
  <c r="F501" i="4"/>
  <c r="G501" i="4"/>
  <c r="H501" i="4"/>
  <c r="I501" i="4"/>
  <c r="J501" i="4"/>
  <c r="K501" i="4"/>
  <c r="B502" i="4"/>
  <c r="C502" i="4"/>
  <c r="D502" i="4"/>
  <c r="E502" i="4"/>
  <c r="F502" i="4"/>
  <c r="G502" i="4"/>
  <c r="H502" i="4"/>
  <c r="I502" i="4"/>
  <c r="J502" i="4"/>
  <c r="K502" i="4"/>
  <c r="B503" i="4"/>
  <c r="C503" i="4"/>
  <c r="D503" i="4"/>
  <c r="E503" i="4"/>
  <c r="F503" i="4"/>
  <c r="G503" i="4"/>
  <c r="H503" i="4"/>
  <c r="I503" i="4"/>
  <c r="J503" i="4"/>
  <c r="K503" i="4"/>
  <c r="B504" i="4"/>
  <c r="C504" i="4"/>
  <c r="D504" i="4"/>
  <c r="E504" i="4"/>
  <c r="F504" i="4"/>
  <c r="G504" i="4"/>
  <c r="H504" i="4"/>
  <c r="I504" i="4"/>
  <c r="J504" i="4"/>
  <c r="K504" i="4"/>
  <c r="B505" i="4"/>
  <c r="C505" i="4"/>
  <c r="D505" i="4"/>
  <c r="E505" i="4"/>
  <c r="F505" i="4"/>
  <c r="G505" i="4"/>
  <c r="H505" i="4"/>
  <c r="I505" i="4"/>
  <c r="J505" i="4"/>
  <c r="K505" i="4"/>
  <c r="B506" i="4"/>
  <c r="C506" i="4"/>
  <c r="D506" i="4"/>
  <c r="E506" i="4"/>
  <c r="F506" i="4"/>
  <c r="G506" i="4"/>
  <c r="H506" i="4"/>
  <c r="I506" i="4"/>
  <c r="J506" i="4"/>
  <c r="K506" i="4"/>
  <c r="B507" i="4"/>
  <c r="C507" i="4"/>
  <c r="D507" i="4"/>
  <c r="E507" i="4"/>
  <c r="F507" i="4"/>
  <c r="G507" i="4"/>
  <c r="H507" i="4"/>
  <c r="I507" i="4"/>
  <c r="J507" i="4"/>
  <c r="K507" i="4"/>
  <c r="B508" i="4"/>
  <c r="C508" i="4"/>
  <c r="D508" i="4"/>
  <c r="E508" i="4"/>
  <c r="F508" i="4"/>
  <c r="G508" i="4"/>
  <c r="H508" i="4"/>
  <c r="I508" i="4"/>
  <c r="J508" i="4"/>
  <c r="K508" i="4"/>
  <c r="B509" i="4"/>
  <c r="C509" i="4"/>
  <c r="D509" i="4"/>
  <c r="E509" i="4"/>
  <c r="F509" i="4"/>
  <c r="G509" i="4"/>
  <c r="H509" i="4"/>
  <c r="I509" i="4"/>
  <c r="J509" i="4"/>
  <c r="K509" i="4"/>
  <c r="B510" i="4"/>
  <c r="C510" i="4"/>
  <c r="D510" i="4"/>
  <c r="E510" i="4"/>
  <c r="F510" i="4"/>
  <c r="G510" i="4"/>
  <c r="H510" i="4"/>
  <c r="I510" i="4"/>
  <c r="J510" i="4"/>
  <c r="K510" i="4"/>
  <c r="B511" i="4"/>
  <c r="C511" i="4"/>
  <c r="D511" i="4"/>
  <c r="E511" i="4"/>
  <c r="F511" i="4"/>
  <c r="G511" i="4"/>
  <c r="H511" i="4"/>
  <c r="I511" i="4"/>
  <c r="J511" i="4"/>
  <c r="K511" i="4"/>
  <c r="B512" i="4"/>
  <c r="C512" i="4"/>
  <c r="D512" i="4"/>
  <c r="E512" i="4"/>
  <c r="F512" i="4"/>
  <c r="G512" i="4"/>
  <c r="H512" i="4"/>
  <c r="I512" i="4"/>
  <c r="J512" i="4"/>
  <c r="K512" i="4"/>
  <c r="B513" i="4"/>
  <c r="C513" i="4"/>
  <c r="D513" i="4"/>
  <c r="E513" i="4"/>
  <c r="F513" i="4"/>
  <c r="G513" i="4"/>
  <c r="H513" i="4"/>
  <c r="I513" i="4"/>
  <c r="J513" i="4"/>
  <c r="K513" i="4"/>
  <c r="B514" i="4"/>
  <c r="C514" i="4"/>
  <c r="D514" i="4"/>
  <c r="E514" i="4"/>
  <c r="F514" i="4"/>
  <c r="G514" i="4"/>
  <c r="H514" i="4"/>
  <c r="I514" i="4"/>
  <c r="J514" i="4"/>
  <c r="K514" i="4"/>
  <c r="B515" i="4"/>
  <c r="C515" i="4"/>
  <c r="D515" i="4"/>
  <c r="E515" i="4"/>
  <c r="F515" i="4"/>
  <c r="G515" i="4"/>
  <c r="H515" i="4"/>
  <c r="I515" i="4"/>
  <c r="J515" i="4"/>
  <c r="K515" i="4"/>
  <c r="B516" i="4"/>
  <c r="C516" i="4"/>
  <c r="D516" i="4"/>
  <c r="E516" i="4"/>
  <c r="F516" i="4"/>
  <c r="G516" i="4"/>
  <c r="H516" i="4"/>
  <c r="I516" i="4"/>
  <c r="J516" i="4"/>
  <c r="K516" i="4"/>
  <c r="B517" i="4"/>
  <c r="C517" i="4"/>
  <c r="D517" i="4"/>
  <c r="E517" i="4"/>
  <c r="F517" i="4"/>
  <c r="G517" i="4"/>
  <c r="H517" i="4"/>
  <c r="I517" i="4"/>
  <c r="J517" i="4"/>
  <c r="K517" i="4"/>
  <c r="B518" i="4"/>
  <c r="C518" i="4"/>
  <c r="D518" i="4"/>
  <c r="E518" i="4"/>
  <c r="F518" i="4"/>
  <c r="G518" i="4"/>
  <c r="H518" i="4"/>
  <c r="I518" i="4"/>
  <c r="J518" i="4"/>
  <c r="K518" i="4"/>
  <c r="B519" i="4"/>
  <c r="C519" i="4"/>
  <c r="D519" i="4"/>
  <c r="E519" i="4"/>
  <c r="F519" i="4"/>
  <c r="G519" i="4"/>
  <c r="H519" i="4"/>
  <c r="I519" i="4"/>
  <c r="J519" i="4"/>
  <c r="K519" i="4"/>
  <c r="B520" i="4"/>
  <c r="C520" i="4"/>
  <c r="D520" i="4"/>
  <c r="E520" i="4"/>
  <c r="F520" i="4"/>
  <c r="G520" i="4"/>
  <c r="H520" i="4"/>
  <c r="I520" i="4"/>
  <c r="J520" i="4"/>
  <c r="K520" i="4"/>
  <c r="B521" i="4"/>
  <c r="C521" i="4"/>
  <c r="D521" i="4"/>
  <c r="E521" i="4"/>
  <c r="F521" i="4"/>
  <c r="G521" i="4"/>
  <c r="H521" i="4"/>
  <c r="I521" i="4"/>
  <c r="J521" i="4"/>
  <c r="K521" i="4"/>
  <c r="B522" i="4"/>
  <c r="C522" i="4"/>
  <c r="D522" i="4"/>
  <c r="E522" i="4"/>
  <c r="F522" i="4"/>
  <c r="G522" i="4"/>
  <c r="H522" i="4"/>
  <c r="I522" i="4"/>
  <c r="J522" i="4"/>
  <c r="K522" i="4"/>
  <c r="B523" i="4"/>
  <c r="C523" i="4"/>
  <c r="D523" i="4"/>
  <c r="E523" i="4"/>
  <c r="F523" i="4"/>
  <c r="G523" i="4"/>
  <c r="H523" i="4"/>
  <c r="I523" i="4"/>
  <c r="J523" i="4"/>
  <c r="K523" i="4"/>
  <c r="B524" i="4"/>
  <c r="C524" i="4"/>
  <c r="D524" i="4"/>
  <c r="E524" i="4"/>
  <c r="F524" i="4"/>
  <c r="G524" i="4"/>
  <c r="H524" i="4"/>
  <c r="I524" i="4"/>
  <c r="J524" i="4"/>
  <c r="K524" i="4"/>
  <c r="B525" i="4"/>
  <c r="C525" i="4"/>
  <c r="D525" i="4"/>
  <c r="E525" i="4"/>
  <c r="F525" i="4"/>
  <c r="G525" i="4"/>
  <c r="H525" i="4"/>
  <c r="I525" i="4"/>
  <c r="J525" i="4"/>
  <c r="K525" i="4"/>
  <c r="B526" i="4"/>
  <c r="C526" i="4"/>
  <c r="D526" i="4"/>
  <c r="E526" i="4"/>
  <c r="F526" i="4"/>
  <c r="G526" i="4"/>
  <c r="H526" i="4"/>
  <c r="I526" i="4"/>
  <c r="J526" i="4"/>
  <c r="K526" i="4"/>
  <c r="B527" i="4"/>
  <c r="C527" i="4"/>
  <c r="D527" i="4"/>
  <c r="E527" i="4"/>
  <c r="F527" i="4"/>
  <c r="G527" i="4"/>
  <c r="H527" i="4"/>
  <c r="I527" i="4"/>
  <c r="J527" i="4"/>
  <c r="K527" i="4"/>
  <c r="B528" i="4"/>
  <c r="C528" i="4"/>
  <c r="D528" i="4"/>
  <c r="E528" i="4"/>
  <c r="F528" i="4"/>
  <c r="G528" i="4"/>
  <c r="H528" i="4"/>
  <c r="I528" i="4"/>
  <c r="J528" i="4"/>
  <c r="K528" i="4"/>
  <c r="B529" i="4"/>
  <c r="C529" i="4"/>
  <c r="D529" i="4"/>
  <c r="E529" i="4"/>
  <c r="F529" i="4"/>
  <c r="G529" i="4"/>
  <c r="H529" i="4"/>
  <c r="I529" i="4"/>
  <c r="J529" i="4"/>
  <c r="K529" i="4"/>
  <c r="B530" i="4"/>
  <c r="C530" i="4"/>
  <c r="D530" i="4"/>
  <c r="E530" i="4"/>
  <c r="F530" i="4"/>
  <c r="G530" i="4"/>
  <c r="H530" i="4"/>
  <c r="I530" i="4"/>
  <c r="J530" i="4"/>
  <c r="K530" i="4"/>
  <c r="B531" i="4"/>
  <c r="C531" i="4"/>
  <c r="D531" i="4"/>
  <c r="E531" i="4"/>
  <c r="F531" i="4"/>
  <c r="G531" i="4"/>
  <c r="H531" i="4"/>
  <c r="I531" i="4"/>
  <c r="J531" i="4"/>
  <c r="K531" i="4"/>
  <c r="B532" i="4"/>
  <c r="C532" i="4"/>
  <c r="D532" i="4"/>
  <c r="E532" i="4"/>
  <c r="F532" i="4"/>
  <c r="G532" i="4"/>
  <c r="H532" i="4"/>
  <c r="I532" i="4"/>
  <c r="J532" i="4"/>
  <c r="K532" i="4"/>
  <c r="B533" i="4"/>
  <c r="C533" i="4"/>
  <c r="D533" i="4"/>
  <c r="E533" i="4"/>
  <c r="F533" i="4"/>
  <c r="G533" i="4"/>
  <c r="H533" i="4"/>
  <c r="I533" i="4"/>
  <c r="J533" i="4"/>
  <c r="K533" i="4"/>
  <c r="B534" i="4"/>
  <c r="C534" i="4"/>
  <c r="D534" i="4"/>
  <c r="E534" i="4"/>
  <c r="F534" i="4"/>
  <c r="G534" i="4"/>
  <c r="H534" i="4"/>
  <c r="I534" i="4"/>
  <c r="J534" i="4"/>
  <c r="K534" i="4"/>
  <c r="B535" i="4"/>
  <c r="C535" i="4"/>
  <c r="D535" i="4"/>
  <c r="E535" i="4"/>
  <c r="F535" i="4"/>
  <c r="G535" i="4"/>
  <c r="H535" i="4"/>
  <c r="I535" i="4"/>
  <c r="J535" i="4"/>
  <c r="K535" i="4"/>
  <c r="B536" i="4"/>
  <c r="C536" i="4"/>
  <c r="D536" i="4"/>
  <c r="E536" i="4"/>
  <c r="F536" i="4"/>
  <c r="G536" i="4"/>
  <c r="H536" i="4"/>
  <c r="I536" i="4"/>
  <c r="J536" i="4"/>
  <c r="K536" i="4"/>
  <c r="B537" i="4"/>
  <c r="C537" i="4"/>
  <c r="D537" i="4"/>
  <c r="E537" i="4"/>
  <c r="F537" i="4"/>
  <c r="G537" i="4"/>
  <c r="H537" i="4"/>
  <c r="I537" i="4"/>
  <c r="J537" i="4"/>
  <c r="K537" i="4"/>
  <c r="B538" i="4"/>
  <c r="C538" i="4"/>
  <c r="D538" i="4"/>
  <c r="E538" i="4"/>
  <c r="F538" i="4"/>
  <c r="G538" i="4"/>
  <c r="H538" i="4"/>
  <c r="I538" i="4"/>
  <c r="J538" i="4"/>
  <c r="K538" i="4"/>
  <c r="B539" i="4"/>
  <c r="C539" i="4"/>
  <c r="D539" i="4"/>
  <c r="E539" i="4"/>
  <c r="F539" i="4"/>
  <c r="G539" i="4"/>
  <c r="H539" i="4"/>
  <c r="I539" i="4"/>
  <c r="J539" i="4"/>
  <c r="K539" i="4"/>
  <c r="B540" i="4"/>
  <c r="C540" i="4"/>
  <c r="D540" i="4"/>
  <c r="E540" i="4"/>
  <c r="F540" i="4"/>
  <c r="G540" i="4"/>
  <c r="H540" i="4"/>
  <c r="I540" i="4"/>
  <c r="J540" i="4"/>
  <c r="K540" i="4"/>
  <c r="B541" i="4"/>
  <c r="C541" i="4"/>
  <c r="D541" i="4"/>
  <c r="E541" i="4"/>
  <c r="F541" i="4"/>
  <c r="G541" i="4"/>
  <c r="H541" i="4"/>
  <c r="I541" i="4"/>
  <c r="J541" i="4"/>
  <c r="K541" i="4"/>
  <c r="B542" i="4"/>
  <c r="C542" i="4"/>
  <c r="D542" i="4"/>
  <c r="E542" i="4"/>
  <c r="F542" i="4"/>
  <c r="G542" i="4"/>
  <c r="H542" i="4"/>
  <c r="I542" i="4"/>
  <c r="J542" i="4"/>
  <c r="K542" i="4"/>
  <c r="B543" i="4"/>
  <c r="C543" i="4"/>
  <c r="D543" i="4"/>
  <c r="E543" i="4"/>
  <c r="F543" i="4"/>
  <c r="G543" i="4"/>
  <c r="H543" i="4"/>
  <c r="I543" i="4"/>
  <c r="J543" i="4"/>
  <c r="K543" i="4"/>
  <c r="B544" i="4"/>
  <c r="C544" i="4"/>
  <c r="D544" i="4"/>
  <c r="E544" i="4"/>
  <c r="F544" i="4"/>
  <c r="G544" i="4"/>
  <c r="H544" i="4"/>
  <c r="I544" i="4"/>
  <c r="J544" i="4"/>
  <c r="K544" i="4"/>
  <c r="B545" i="4"/>
  <c r="C545" i="4"/>
  <c r="D545" i="4"/>
  <c r="E545" i="4"/>
  <c r="F545" i="4"/>
  <c r="G545" i="4"/>
  <c r="H545" i="4"/>
  <c r="I545" i="4"/>
  <c r="J545" i="4"/>
  <c r="K545" i="4"/>
  <c r="B546" i="4"/>
  <c r="C546" i="4"/>
  <c r="D546" i="4"/>
  <c r="E546" i="4"/>
  <c r="F546" i="4"/>
  <c r="G546" i="4"/>
  <c r="H546" i="4"/>
  <c r="I546" i="4"/>
  <c r="J546" i="4"/>
  <c r="K546" i="4"/>
  <c r="B547" i="4"/>
  <c r="C547" i="4"/>
  <c r="D547" i="4"/>
  <c r="E547" i="4"/>
  <c r="F547" i="4"/>
  <c r="G547" i="4"/>
  <c r="H547" i="4"/>
  <c r="I547" i="4"/>
  <c r="J547" i="4"/>
  <c r="K547" i="4"/>
  <c r="B548" i="4"/>
  <c r="C548" i="4"/>
  <c r="D548" i="4"/>
  <c r="E548" i="4"/>
  <c r="F548" i="4"/>
  <c r="G548" i="4"/>
  <c r="H548" i="4"/>
  <c r="I548" i="4"/>
  <c r="J548" i="4"/>
  <c r="K548" i="4"/>
  <c r="B549" i="4"/>
  <c r="C549" i="4"/>
  <c r="D549" i="4"/>
  <c r="E549" i="4"/>
  <c r="F549" i="4"/>
  <c r="G549" i="4"/>
  <c r="H549" i="4"/>
  <c r="I549" i="4"/>
  <c r="J549" i="4"/>
  <c r="K549" i="4"/>
  <c r="B550" i="4"/>
  <c r="C550" i="4"/>
  <c r="D550" i="4"/>
  <c r="E550" i="4"/>
  <c r="F550" i="4"/>
  <c r="G550" i="4"/>
  <c r="H550" i="4"/>
  <c r="I550" i="4"/>
  <c r="J550" i="4"/>
  <c r="K550" i="4"/>
  <c r="B551" i="4"/>
  <c r="C551" i="4"/>
  <c r="D551" i="4"/>
  <c r="E551" i="4"/>
  <c r="F551" i="4"/>
  <c r="G551" i="4"/>
  <c r="H551" i="4"/>
  <c r="I551" i="4"/>
  <c r="J551" i="4"/>
  <c r="K551" i="4"/>
  <c r="B552" i="4"/>
  <c r="C552" i="4"/>
  <c r="D552" i="4"/>
  <c r="E552" i="4"/>
  <c r="F552" i="4"/>
  <c r="G552" i="4"/>
  <c r="H552" i="4"/>
  <c r="I552" i="4"/>
  <c r="J552" i="4"/>
  <c r="K552" i="4"/>
  <c r="B553" i="4"/>
  <c r="C553" i="4"/>
  <c r="D553" i="4"/>
  <c r="E553" i="4"/>
  <c r="F553" i="4"/>
  <c r="G553" i="4"/>
  <c r="H553" i="4"/>
  <c r="I553" i="4"/>
  <c r="J553" i="4"/>
  <c r="K553" i="4"/>
  <c r="B554" i="4"/>
  <c r="C554" i="4"/>
  <c r="D554" i="4"/>
  <c r="E554" i="4"/>
  <c r="F554" i="4"/>
  <c r="G554" i="4"/>
  <c r="H554" i="4"/>
  <c r="I554" i="4"/>
  <c r="J554" i="4"/>
  <c r="K554" i="4"/>
  <c r="B555" i="4"/>
  <c r="C555" i="4"/>
  <c r="D555" i="4"/>
  <c r="E555" i="4"/>
  <c r="F555" i="4"/>
  <c r="G555" i="4"/>
  <c r="H555" i="4"/>
  <c r="I555" i="4"/>
  <c r="J555" i="4"/>
  <c r="K555" i="4"/>
  <c r="B556" i="4"/>
  <c r="C556" i="4"/>
  <c r="D556" i="4"/>
  <c r="E556" i="4"/>
  <c r="F556" i="4"/>
  <c r="G556" i="4"/>
  <c r="H556" i="4"/>
  <c r="I556" i="4"/>
  <c r="J556" i="4"/>
  <c r="K556" i="4"/>
  <c r="B557" i="4"/>
  <c r="C557" i="4"/>
  <c r="D557" i="4"/>
  <c r="E557" i="4"/>
  <c r="F557" i="4"/>
  <c r="G557" i="4"/>
  <c r="H557" i="4"/>
  <c r="I557" i="4"/>
  <c r="J557" i="4"/>
  <c r="K557" i="4"/>
  <c r="B558" i="4"/>
  <c r="C558" i="4"/>
  <c r="D558" i="4"/>
  <c r="E558" i="4"/>
  <c r="F558" i="4"/>
  <c r="G558" i="4"/>
  <c r="H558" i="4"/>
  <c r="I558" i="4"/>
  <c r="J558" i="4"/>
  <c r="K558" i="4"/>
  <c r="B559" i="4"/>
  <c r="C559" i="4"/>
  <c r="D559" i="4"/>
  <c r="E559" i="4"/>
  <c r="F559" i="4"/>
  <c r="G559" i="4"/>
  <c r="H559" i="4"/>
  <c r="I559" i="4"/>
  <c r="J559" i="4"/>
  <c r="K559" i="4"/>
  <c r="B560" i="4"/>
  <c r="C560" i="4"/>
  <c r="D560" i="4"/>
  <c r="E560" i="4"/>
  <c r="F560" i="4"/>
  <c r="G560" i="4"/>
  <c r="H560" i="4"/>
  <c r="I560" i="4"/>
  <c r="J560" i="4"/>
  <c r="K560" i="4"/>
  <c r="B561" i="4"/>
  <c r="C561" i="4"/>
  <c r="D561" i="4"/>
  <c r="E561" i="4"/>
  <c r="F561" i="4"/>
  <c r="G561" i="4"/>
  <c r="H561" i="4"/>
  <c r="I561" i="4"/>
  <c r="J561" i="4"/>
  <c r="K561" i="4"/>
  <c r="B562" i="4"/>
  <c r="C562" i="4"/>
  <c r="D562" i="4"/>
  <c r="E562" i="4"/>
  <c r="F562" i="4"/>
  <c r="G562" i="4"/>
  <c r="H562" i="4"/>
  <c r="I562" i="4"/>
  <c r="J562" i="4"/>
  <c r="K562" i="4"/>
  <c r="B563" i="4"/>
  <c r="C563" i="4"/>
  <c r="D563" i="4"/>
  <c r="E563" i="4"/>
  <c r="F563" i="4"/>
  <c r="G563" i="4"/>
  <c r="H563" i="4"/>
  <c r="I563" i="4"/>
  <c r="J563" i="4"/>
  <c r="K563" i="4"/>
  <c r="B564" i="4"/>
  <c r="C564" i="4"/>
  <c r="D564" i="4"/>
  <c r="E564" i="4"/>
  <c r="F564" i="4"/>
  <c r="G564" i="4"/>
  <c r="H564" i="4"/>
  <c r="I564" i="4"/>
  <c r="J564" i="4"/>
  <c r="K564" i="4"/>
  <c r="B565" i="4"/>
  <c r="C565" i="4"/>
  <c r="D565" i="4"/>
  <c r="E565" i="4"/>
  <c r="F565" i="4"/>
  <c r="G565" i="4"/>
  <c r="H565" i="4"/>
  <c r="I565" i="4"/>
  <c r="J565" i="4"/>
  <c r="K565" i="4"/>
  <c r="B566" i="4"/>
  <c r="C566" i="4"/>
  <c r="D566" i="4"/>
  <c r="E566" i="4"/>
  <c r="F566" i="4"/>
  <c r="G566" i="4"/>
  <c r="H566" i="4"/>
  <c r="I566" i="4"/>
  <c r="J566" i="4"/>
  <c r="K566" i="4"/>
  <c r="B567" i="4"/>
  <c r="C567" i="4"/>
  <c r="D567" i="4"/>
  <c r="E567" i="4"/>
  <c r="F567" i="4"/>
  <c r="G567" i="4"/>
  <c r="H567" i="4"/>
  <c r="I567" i="4"/>
  <c r="J567" i="4"/>
  <c r="K567" i="4"/>
  <c r="B568" i="4"/>
  <c r="C568" i="4"/>
  <c r="D568" i="4"/>
  <c r="E568" i="4"/>
  <c r="F568" i="4"/>
  <c r="G568" i="4"/>
  <c r="H568" i="4"/>
  <c r="I568" i="4"/>
  <c r="J568" i="4"/>
  <c r="K568" i="4"/>
  <c r="B569" i="4"/>
  <c r="C569" i="4"/>
  <c r="D569" i="4"/>
  <c r="E569" i="4"/>
  <c r="F569" i="4"/>
  <c r="G569" i="4"/>
  <c r="H569" i="4"/>
  <c r="I569" i="4"/>
  <c r="J569" i="4"/>
  <c r="K569" i="4"/>
  <c r="B570" i="4"/>
  <c r="C570" i="4"/>
  <c r="D570" i="4"/>
  <c r="E570" i="4"/>
  <c r="F570" i="4"/>
  <c r="G570" i="4"/>
  <c r="H570" i="4"/>
  <c r="I570" i="4"/>
  <c r="J570" i="4"/>
  <c r="K570" i="4"/>
  <c r="B571" i="4"/>
  <c r="C571" i="4"/>
  <c r="D571" i="4"/>
  <c r="E571" i="4"/>
  <c r="F571" i="4"/>
  <c r="G571" i="4"/>
  <c r="H571" i="4"/>
  <c r="I571" i="4"/>
  <c r="J571" i="4"/>
  <c r="K571" i="4"/>
  <c r="B572" i="4"/>
  <c r="C572" i="4"/>
  <c r="D572" i="4"/>
  <c r="E572" i="4"/>
  <c r="F572" i="4"/>
  <c r="G572" i="4"/>
  <c r="H572" i="4"/>
  <c r="I572" i="4"/>
  <c r="J572" i="4"/>
  <c r="K572" i="4"/>
  <c r="B573" i="4"/>
  <c r="C573" i="4"/>
  <c r="D573" i="4"/>
  <c r="E573" i="4"/>
  <c r="F573" i="4"/>
  <c r="G573" i="4"/>
  <c r="H573" i="4"/>
  <c r="I573" i="4"/>
  <c r="J573" i="4"/>
  <c r="K573" i="4"/>
  <c r="B574" i="4"/>
  <c r="C574" i="4"/>
  <c r="D574" i="4"/>
  <c r="E574" i="4"/>
  <c r="F574" i="4"/>
  <c r="G574" i="4"/>
  <c r="H574" i="4"/>
  <c r="I574" i="4"/>
  <c r="J574" i="4"/>
  <c r="K574" i="4"/>
  <c r="B575" i="4"/>
  <c r="C575" i="4"/>
  <c r="D575" i="4"/>
  <c r="E575" i="4"/>
  <c r="F575" i="4"/>
  <c r="G575" i="4"/>
  <c r="H575" i="4"/>
  <c r="I575" i="4"/>
  <c r="J575" i="4"/>
  <c r="K575" i="4"/>
  <c r="B576" i="4"/>
  <c r="C576" i="4"/>
  <c r="D576" i="4"/>
  <c r="E576" i="4"/>
  <c r="F576" i="4"/>
  <c r="G576" i="4"/>
  <c r="H576" i="4"/>
  <c r="I576" i="4"/>
  <c r="J576" i="4"/>
  <c r="K576" i="4"/>
  <c r="B577" i="4"/>
  <c r="C577" i="4"/>
  <c r="D577" i="4"/>
  <c r="E577" i="4"/>
  <c r="F577" i="4"/>
  <c r="G577" i="4"/>
  <c r="H577" i="4"/>
  <c r="I577" i="4"/>
  <c r="J577" i="4"/>
  <c r="K577" i="4"/>
  <c r="B578" i="4"/>
  <c r="C578" i="4"/>
  <c r="D578" i="4"/>
  <c r="E578" i="4"/>
  <c r="F578" i="4"/>
  <c r="G578" i="4"/>
  <c r="H578" i="4"/>
  <c r="I578" i="4"/>
  <c r="J578" i="4"/>
  <c r="K578" i="4"/>
  <c r="B579" i="4"/>
  <c r="C579" i="4"/>
  <c r="D579" i="4"/>
  <c r="E579" i="4"/>
  <c r="F579" i="4"/>
  <c r="G579" i="4"/>
  <c r="H579" i="4"/>
  <c r="I579" i="4"/>
  <c r="J579" i="4"/>
  <c r="K579" i="4"/>
  <c r="B580" i="4"/>
  <c r="C580" i="4"/>
  <c r="D580" i="4"/>
  <c r="E580" i="4"/>
  <c r="F580" i="4"/>
  <c r="G580" i="4"/>
  <c r="H580" i="4"/>
  <c r="I580" i="4"/>
  <c r="J580" i="4"/>
  <c r="K580" i="4"/>
  <c r="B581" i="4"/>
  <c r="C581" i="4"/>
  <c r="D581" i="4"/>
  <c r="E581" i="4"/>
  <c r="F581" i="4"/>
  <c r="G581" i="4"/>
  <c r="H581" i="4"/>
  <c r="I581" i="4"/>
  <c r="J581" i="4"/>
  <c r="K581" i="4"/>
  <c r="B582" i="4"/>
  <c r="C582" i="4"/>
  <c r="D582" i="4"/>
  <c r="E582" i="4"/>
  <c r="F582" i="4"/>
  <c r="G582" i="4"/>
  <c r="H582" i="4"/>
  <c r="I582" i="4"/>
  <c r="J582" i="4"/>
  <c r="K582" i="4"/>
  <c r="B583" i="4"/>
  <c r="C583" i="4"/>
  <c r="D583" i="4"/>
  <c r="E583" i="4"/>
  <c r="F583" i="4"/>
  <c r="G583" i="4"/>
  <c r="H583" i="4"/>
  <c r="I583" i="4"/>
  <c r="J583" i="4"/>
  <c r="K583" i="4"/>
  <c r="B584" i="4"/>
  <c r="C584" i="4"/>
  <c r="D584" i="4"/>
  <c r="E584" i="4"/>
  <c r="F584" i="4"/>
  <c r="G584" i="4"/>
  <c r="H584" i="4"/>
  <c r="I584" i="4"/>
  <c r="J584" i="4"/>
  <c r="K584" i="4"/>
  <c r="B585" i="4"/>
  <c r="C585" i="4"/>
  <c r="D585" i="4"/>
  <c r="E585" i="4"/>
  <c r="F585" i="4"/>
  <c r="G585" i="4"/>
  <c r="H585" i="4"/>
  <c r="I585" i="4"/>
  <c r="J585" i="4"/>
  <c r="K585" i="4"/>
  <c r="B586" i="4"/>
  <c r="C586" i="4"/>
  <c r="D586" i="4"/>
  <c r="E586" i="4"/>
  <c r="F586" i="4"/>
  <c r="G586" i="4"/>
  <c r="H586" i="4"/>
  <c r="I586" i="4"/>
  <c r="J586" i="4"/>
  <c r="K586" i="4"/>
  <c r="B587" i="4"/>
  <c r="C587" i="4"/>
  <c r="D587" i="4"/>
  <c r="E587" i="4"/>
  <c r="F587" i="4"/>
  <c r="G587" i="4"/>
  <c r="H587" i="4"/>
  <c r="I587" i="4"/>
  <c r="J587" i="4"/>
  <c r="K587" i="4"/>
  <c r="B588" i="4"/>
  <c r="C588" i="4"/>
  <c r="D588" i="4"/>
  <c r="E588" i="4"/>
  <c r="F588" i="4"/>
  <c r="G588" i="4"/>
  <c r="H588" i="4"/>
  <c r="I588" i="4"/>
  <c r="J588" i="4"/>
  <c r="K588" i="4"/>
  <c r="B589" i="4"/>
  <c r="C589" i="4"/>
  <c r="D589" i="4"/>
  <c r="E589" i="4"/>
  <c r="F589" i="4"/>
  <c r="G589" i="4"/>
  <c r="H589" i="4"/>
  <c r="I589" i="4"/>
  <c r="J589" i="4"/>
  <c r="K589" i="4"/>
  <c r="B590" i="4"/>
  <c r="C590" i="4"/>
  <c r="D590" i="4"/>
  <c r="E590" i="4"/>
  <c r="F590" i="4"/>
  <c r="G590" i="4"/>
  <c r="H590" i="4"/>
  <c r="I590" i="4"/>
  <c r="J590" i="4"/>
  <c r="K590" i="4"/>
  <c r="B591" i="4"/>
  <c r="C591" i="4"/>
  <c r="D591" i="4"/>
  <c r="E591" i="4"/>
  <c r="F591" i="4"/>
  <c r="G591" i="4"/>
  <c r="H591" i="4"/>
  <c r="I591" i="4"/>
  <c r="J591" i="4"/>
  <c r="K591" i="4"/>
  <c r="B592" i="4"/>
  <c r="C592" i="4"/>
  <c r="D592" i="4"/>
  <c r="E592" i="4"/>
  <c r="F592" i="4"/>
  <c r="G592" i="4"/>
  <c r="H592" i="4"/>
  <c r="I592" i="4"/>
  <c r="J592" i="4"/>
  <c r="K592" i="4"/>
  <c r="B593" i="4"/>
  <c r="C593" i="4"/>
  <c r="D593" i="4"/>
  <c r="E593" i="4"/>
  <c r="F593" i="4"/>
  <c r="G593" i="4"/>
  <c r="H593" i="4"/>
  <c r="I593" i="4"/>
  <c r="J593" i="4"/>
  <c r="K593" i="4"/>
  <c r="B594" i="4"/>
  <c r="C594" i="4"/>
  <c r="D594" i="4"/>
  <c r="E594" i="4"/>
  <c r="F594" i="4"/>
  <c r="G594" i="4"/>
  <c r="H594" i="4"/>
  <c r="I594" i="4"/>
  <c r="J594" i="4"/>
  <c r="K594" i="4"/>
  <c r="B595" i="4"/>
  <c r="C595" i="4"/>
  <c r="D595" i="4"/>
  <c r="E595" i="4"/>
  <c r="F595" i="4"/>
  <c r="G595" i="4"/>
  <c r="H595" i="4"/>
  <c r="I595" i="4"/>
  <c r="J595" i="4"/>
  <c r="K595" i="4"/>
  <c r="B596" i="4"/>
  <c r="C596" i="4"/>
  <c r="D596" i="4"/>
  <c r="E596" i="4"/>
  <c r="F596" i="4"/>
  <c r="G596" i="4"/>
  <c r="H596" i="4"/>
  <c r="I596" i="4"/>
  <c r="J596" i="4"/>
  <c r="K596" i="4"/>
  <c r="B597" i="4"/>
  <c r="C597" i="4"/>
  <c r="D597" i="4"/>
  <c r="E597" i="4"/>
  <c r="F597" i="4"/>
  <c r="G597" i="4"/>
  <c r="H597" i="4"/>
  <c r="I597" i="4"/>
  <c r="J597" i="4"/>
  <c r="K597" i="4"/>
  <c r="B598" i="4"/>
  <c r="C598" i="4"/>
  <c r="D598" i="4"/>
  <c r="E598" i="4"/>
  <c r="F598" i="4"/>
  <c r="G598" i="4"/>
  <c r="H598" i="4"/>
  <c r="I598" i="4"/>
  <c r="J598" i="4"/>
  <c r="K598" i="4"/>
  <c r="B599" i="4"/>
  <c r="C599" i="4"/>
  <c r="D599" i="4"/>
  <c r="E599" i="4"/>
  <c r="F599" i="4"/>
  <c r="G599" i="4"/>
  <c r="H599" i="4"/>
  <c r="I599" i="4"/>
  <c r="J599" i="4"/>
  <c r="K599" i="4"/>
  <c r="B600" i="4"/>
  <c r="C600" i="4"/>
  <c r="D600" i="4"/>
  <c r="E600" i="4"/>
  <c r="F600" i="4"/>
  <c r="G600" i="4"/>
  <c r="H600" i="4"/>
  <c r="I600" i="4"/>
  <c r="J600" i="4"/>
  <c r="K600" i="4"/>
  <c r="B601" i="4"/>
  <c r="C601" i="4"/>
  <c r="D601" i="4"/>
  <c r="E601" i="4"/>
  <c r="F601" i="4"/>
  <c r="G601" i="4"/>
  <c r="H601" i="4"/>
  <c r="I601" i="4"/>
  <c r="J601" i="4"/>
  <c r="K601" i="4"/>
  <c r="B602" i="4"/>
  <c r="C602" i="4"/>
  <c r="D602" i="4"/>
  <c r="E602" i="4"/>
  <c r="F602" i="4"/>
  <c r="G602" i="4"/>
  <c r="H602" i="4"/>
  <c r="I602" i="4"/>
  <c r="J602" i="4"/>
  <c r="K602" i="4"/>
  <c r="B603" i="4"/>
  <c r="C603" i="4"/>
  <c r="D603" i="4"/>
  <c r="E603" i="4"/>
  <c r="F603" i="4"/>
  <c r="G603" i="4"/>
  <c r="H603" i="4"/>
  <c r="I603" i="4"/>
  <c r="J603" i="4"/>
  <c r="K603" i="4"/>
  <c r="B604" i="4"/>
  <c r="C604" i="4"/>
  <c r="D604" i="4"/>
  <c r="E604" i="4"/>
  <c r="F604" i="4"/>
  <c r="G604" i="4"/>
  <c r="H604" i="4"/>
  <c r="I604" i="4"/>
  <c r="J604" i="4"/>
  <c r="K604" i="4"/>
  <c r="B605" i="4"/>
  <c r="C605" i="4"/>
  <c r="D605" i="4"/>
  <c r="E605" i="4"/>
  <c r="F605" i="4"/>
  <c r="G605" i="4"/>
  <c r="H605" i="4"/>
  <c r="I605" i="4"/>
  <c r="J605" i="4"/>
  <c r="K605" i="4"/>
  <c r="B606" i="4"/>
  <c r="C606" i="4"/>
  <c r="D606" i="4"/>
  <c r="E606" i="4"/>
  <c r="F606" i="4"/>
  <c r="G606" i="4"/>
  <c r="H606" i="4"/>
  <c r="I606" i="4"/>
  <c r="J606" i="4"/>
  <c r="K606" i="4"/>
  <c r="B607" i="4"/>
  <c r="C607" i="4"/>
  <c r="D607" i="4"/>
  <c r="E607" i="4"/>
  <c r="F607" i="4"/>
  <c r="G607" i="4"/>
  <c r="H607" i="4"/>
  <c r="I607" i="4"/>
  <c r="J607" i="4"/>
  <c r="K607" i="4"/>
  <c r="B608" i="4"/>
  <c r="C608" i="4"/>
  <c r="D608" i="4"/>
  <c r="E608" i="4"/>
  <c r="F608" i="4"/>
  <c r="G608" i="4"/>
  <c r="H608" i="4"/>
  <c r="I608" i="4"/>
  <c r="J608" i="4"/>
  <c r="K608" i="4"/>
  <c r="B609" i="4"/>
  <c r="C609" i="4"/>
  <c r="D609" i="4"/>
  <c r="E609" i="4"/>
  <c r="F609" i="4"/>
  <c r="G609" i="4"/>
  <c r="H609" i="4"/>
  <c r="I609" i="4"/>
  <c r="J609" i="4"/>
  <c r="K609" i="4"/>
  <c r="B610" i="4"/>
  <c r="C610" i="4"/>
  <c r="D610" i="4"/>
  <c r="E610" i="4"/>
  <c r="F610" i="4"/>
  <c r="G610" i="4"/>
  <c r="H610" i="4"/>
  <c r="I610" i="4"/>
  <c r="J610" i="4"/>
  <c r="K610" i="4"/>
  <c r="B611" i="4"/>
  <c r="C611" i="4"/>
  <c r="D611" i="4"/>
  <c r="E611" i="4"/>
  <c r="F611" i="4"/>
  <c r="G611" i="4"/>
  <c r="H611" i="4"/>
  <c r="I611" i="4"/>
  <c r="J611" i="4"/>
  <c r="K611" i="4"/>
  <c r="B612" i="4"/>
  <c r="C612" i="4"/>
  <c r="D612" i="4"/>
  <c r="E612" i="4"/>
  <c r="F612" i="4"/>
  <c r="G612" i="4"/>
  <c r="H612" i="4"/>
  <c r="I612" i="4"/>
  <c r="J612" i="4"/>
  <c r="K612" i="4"/>
  <c r="B613" i="4"/>
  <c r="C613" i="4"/>
  <c r="D613" i="4"/>
  <c r="E613" i="4"/>
  <c r="F613" i="4"/>
  <c r="G613" i="4"/>
  <c r="H613" i="4"/>
  <c r="I613" i="4"/>
  <c r="J613" i="4"/>
  <c r="K613" i="4"/>
  <c r="B614" i="4"/>
  <c r="C614" i="4"/>
  <c r="D614" i="4"/>
  <c r="E614" i="4"/>
  <c r="F614" i="4"/>
  <c r="G614" i="4"/>
  <c r="H614" i="4"/>
  <c r="I614" i="4"/>
  <c r="J614" i="4"/>
  <c r="K614" i="4"/>
  <c r="B615" i="4"/>
  <c r="C615" i="4"/>
  <c r="D615" i="4"/>
  <c r="E615" i="4"/>
  <c r="F615" i="4"/>
  <c r="G615" i="4"/>
  <c r="H615" i="4"/>
  <c r="I615" i="4"/>
  <c r="J615" i="4"/>
  <c r="K615" i="4"/>
  <c r="B616" i="4"/>
  <c r="C616" i="4"/>
  <c r="D616" i="4"/>
  <c r="E616" i="4"/>
  <c r="F616" i="4"/>
  <c r="G616" i="4"/>
  <c r="H616" i="4"/>
  <c r="I616" i="4"/>
  <c r="J616" i="4"/>
  <c r="K616" i="4"/>
  <c r="B617" i="4"/>
  <c r="C617" i="4"/>
  <c r="D617" i="4"/>
  <c r="E617" i="4"/>
  <c r="F617" i="4"/>
  <c r="G617" i="4"/>
  <c r="H617" i="4"/>
  <c r="I617" i="4"/>
  <c r="J617" i="4"/>
  <c r="K617" i="4"/>
  <c r="B618" i="4"/>
  <c r="C618" i="4"/>
  <c r="D618" i="4"/>
  <c r="E618" i="4"/>
  <c r="F618" i="4"/>
  <c r="G618" i="4"/>
  <c r="H618" i="4"/>
  <c r="I618" i="4"/>
  <c r="J618" i="4"/>
  <c r="K618" i="4"/>
  <c r="B619" i="4"/>
  <c r="C619" i="4"/>
  <c r="D619" i="4"/>
  <c r="E619" i="4"/>
  <c r="F619" i="4"/>
  <c r="G619" i="4"/>
  <c r="H619" i="4"/>
  <c r="I619" i="4"/>
  <c r="J619" i="4"/>
  <c r="K619" i="4"/>
  <c r="B620" i="4"/>
  <c r="C620" i="4"/>
  <c r="D620" i="4"/>
  <c r="E620" i="4"/>
  <c r="F620" i="4"/>
  <c r="G620" i="4"/>
  <c r="H620" i="4"/>
  <c r="I620" i="4"/>
  <c r="J620" i="4"/>
  <c r="K620" i="4"/>
  <c r="B621" i="4"/>
  <c r="C621" i="4"/>
  <c r="D621" i="4"/>
  <c r="E621" i="4"/>
  <c r="F621" i="4"/>
  <c r="G621" i="4"/>
  <c r="H621" i="4"/>
  <c r="I621" i="4"/>
  <c r="J621" i="4"/>
  <c r="K621" i="4"/>
  <c r="B622" i="4"/>
  <c r="C622" i="4"/>
  <c r="D622" i="4"/>
  <c r="E622" i="4"/>
  <c r="F622" i="4"/>
  <c r="G622" i="4"/>
  <c r="H622" i="4"/>
  <c r="I622" i="4"/>
  <c r="J622" i="4"/>
  <c r="K622" i="4"/>
  <c r="B623" i="4"/>
  <c r="C623" i="4"/>
  <c r="D623" i="4"/>
  <c r="E623" i="4"/>
  <c r="F623" i="4"/>
  <c r="G623" i="4"/>
  <c r="H623" i="4"/>
  <c r="I623" i="4"/>
  <c r="J623" i="4"/>
  <c r="K623" i="4"/>
  <c r="B624" i="4"/>
  <c r="C624" i="4"/>
  <c r="D624" i="4"/>
  <c r="E624" i="4"/>
  <c r="F624" i="4"/>
  <c r="G624" i="4"/>
  <c r="H624" i="4"/>
  <c r="I624" i="4"/>
  <c r="J624" i="4"/>
  <c r="K624" i="4"/>
  <c r="B625" i="4"/>
  <c r="C625" i="4"/>
  <c r="D625" i="4"/>
  <c r="E625" i="4"/>
  <c r="F625" i="4"/>
  <c r="G625" i="4"/>
  <c r="H625" i="4"/>
  <c r="I625" i="4"/>
  <c r="J625" i="4"/>
  <c r="K625" i="4"/>
  <c r="B626" i="4"/>
  <c r="C626" i="4"/>
  <c r="D626" i="4"/>
  <c r="E626" i="4"/>
  <c r="F626" i="4"/>
  <c r="G626" i="4"/>
  <c r="H626" i="4"/>
  <c r="I626" i="4"/>
  <c r="J626" i="4"/>
  <c r="K626" i="4"/>
  <c r="B627" i="4"/>
  <c r="C627" i="4"/>
  <c r="D627" i="4"/>
  <c r="E627" i="4"/>
  <c r="F627" i="4"/>
  <c r="G627" i="4"/>
  <c r="H627" i="4"/>
  <c r="I627" i="4"/>
  <c r="J627" i="4"/>
  <c r="K627" i="4"/>
  <c r="B628" i="4"/>
  <c r="C628" i="4"/>
  <c r="D628" i="4"/>
  <c r="E628" i="4"/>
  <c r="F628" i="4"/>
  <c r="G628" i="4"/>
  <c r="H628" i="4"/>
  <c r="I628" i="4"/>
  <c r="J628" i="4"/>
  <c r="K628" i="4"/>
  <c r="B629" i="4"/>
  <c r="C629" i="4"/>
  <c r="D629" i="4"/>
  <c r="E629" i="4"/>
  <c r="F629" i="4"/>
  <c r="G629" i="4"/>
  <c r="H629" i="4"/>
  <c r="I629" i="4"/>
  <c r="J629" i="4"/>
  <c r="K629" i="4"/>
  <c r="B630" i="4"/>
  <c r="C630" i="4"/>
  <c r="D630" i="4"/>
  <c r="E630" i="4"/>
  <c r="F630" i="4"/>
  <c r="G630" i="4"/>
  <c r="H630" i="4"/>
  <c r="I630" i="4"/>
  <c r="J630" i="4"/>
  <c r="K630" i="4"/>
  <c r="B631" i="4"/>
  <c r="C631" i="4"/>
  <c r="D631" i="4"/>
  <c r="E631" i="4"/>
  <c r="F631" i="4"/>
  <c r="G631" i="4"/>
  <c r="H631" i="4"/>
  <c r="I631" i="4"/>
  <c r="J631" i="4"/>
  <c r="K631" i="4"/>
  <c r="B632" i="4"/>
  <c r="C632" i="4"/>
  <c r="D632" i="4"/>
  <c r="E632" i="4"/>
  <c r="F632" i="4"/>
  <c r="G632" i="4"/>
  <c r="H632" i="4"/>
  <c r="I632" i="4"/>
  <c r="J632" i="4"/>
  <c r="K632" i="4"/>
  <c r="B633" i="4"/>
  <c r="C633" i="4"/>
  <c r="D633" i="4"/>
  <c r="E633" i="4"/>
  <c r="F633" i="4"/>
  <c r="G633" i="4"/>
  <c r="H633" i="4"/>
  <c r="I633" i="4"/>
  <c r="J633" i="4"/>
  <c r="K633" i="4"/>
  <c r="B634" i="4"/>
  <c r="C634" i="4"/>
  <c r="D634" i="4"/>
  <c r="E634" i="4"/>
  <c r="F634" i="4"/>
  <c r="G634" i="4"/>
  <c r="H634" i="4"/>
  <c r="I634" i="4"/>
  <c r="J634" i="4"/>
  <c r="K634" i="4"/>
  <c r="B635" i="4"/>
  <c r="C635" i="4"/>
  <c r="D635" i="4"/>
  <c r="E635" i="4"/>
  <c r="F635" i="4"/>
  <c r="G635" i="4"/>
  <c r="H635" i="4"/>
  <c r="I635" i="4"/>
  <c r="J635" i="4"/>
  <c r="K635" i="4"/>
  <c r="B636" i="4"/>
  <c r="C636" i="4"/>
  <c r="D636" i="4"/>
  <c r="E636" i="4"/>
  <c r="F636" i="4"/>
  <c r="G636" i="4"/>
  <c r="H636" i="4"/>
  <c r="I636" i="4"/>
  <c r="J636" i="4"/>
  <c r="K636" i="4"/>
  <c r="B637" i="4"/>
  <c r="C637" i="4"/>
  <c r="D637" i="4"/>
  <c r="E637" i="4"/>
  <c r="F637" i="4"/>
  <c r="G637" i="4"/>
  <c r="H637" i="4"/>
  <c r="I637" i="4"/>
  <c r="J637" i="4"/>
  <c r="K637" i="4"/>
  <c r="B638" i="4"/>
  <c r="C638" i="4"/>
  <c r="D638" i="4"/>
  <c r="E638" i="4"/>
  <c r="F638" i="4"/>
  <c r="G638" i="4"/>
  <c r="H638" i="4"/>
  <c r="I638" i="4"/>
  <c r="J638" i="4"/>
  <c r="K638" i="4"/>
  <c r="B639" i="4"/>
  <c r="C639" i="4"/>
  <c r="D639" i="4"/>
  <c r="E639" i="4"/>
  <c r="F639" i="4"/>
  <c r="G639" i="4"/>
  <c r="H639" i="4"/>
  <c r="I639" i="4"/>
  <c r="J639" i="4"/>
  <c r="K639" i="4"/>
  <c r="B640" i="4"/>
  <c r="C640" i="4"/>
  <c r="D640" i="4"/>
  <c r="E640" i="4"/>
  <c r="F640" i="4"/>
  <c r="G640" i="4"/>
  <c r="H640" i="4"/>
  <c r="I640" i="4"/>
  <c r="J640" i="4"/>
  <c r="K640" i="4"/>
  <c r="B641" i="4"/>
  <c r="C641" i="4"/>
  <c r="D641" i="4"/>
  <c r="E641" i="4"/>
  <c r="F641" i="4"/>
  <c r="G641" i="4"/>
  <c r="H641" i="4"/>
  <c r="I641" i="4"/>
  <c r="J641" i="4"/>
  <c r="K641" i="4"/>
  <c r="B642" i="4"/>
  <c r="C642" i="4"/>
  <c r="D642" i="4"/>
  <c r="E642" i="4"/>
  <c r="F642" i="4"/>
  <c r="G642" i="4"/>
  <c r="H642" i="4"/>
  <c r="I642" i="4"/>
  <c r="J642" i="4"/>
  <c r="K642" i="4"/>
  <c r="B643" i="4"/>
  <c r="C643" i="4"/>
  <c r="D643" i="4"/>
  <c r="E643" i="4"/>
  <c r="F643" i="4"/>
  <c r="G643" i="4"/>
  <c r="H643" i="4"/>
  <c r="I643" i="4"/>
  <c r="J643" i="4"/>
  <c r="K643" i="4"/>
  <c r="B644" i="4"/>
  <c r="C644" i="4"/>
  <c r="D644" i="4"/>
  <c r="E644" i="4"/>
  <c r="F644" i="4"/>
  <c r="G644" i="4"/>
  <c r="H644" i="4"/>
  <c r="I644" i="4"/>
  <c r="J644" i="4"/>
  <c r="K644" i="4"/>
  <c r="B645" i="4"/>
  <c r="C645" i="4"/>
  <c r="D645" i="4"/>
  <c r="E645" i="4"/>
  <c r="F645" i="4"/>
  <c r="G645" i="4"/>
  <c r="H645" i="4"/>
  <c r="I645" i="4"/>
  <c r="J645" i="4"/>
  <c r="K645" i="4"/>
  <c r="B646" i="4"/>
  <c r="C646" i="4"/>
  <c r="D646" i="4"/>
  <c r="E646" i="4"/>
  <c r="F646" i="4"/>
  <c r="G646" i="4"/>
  <c r="H646" i="4"/>
  <c r="I646" i="4"/>
  <c r="J646" i="4"/>
  <c r="K646" i="4"/>
  <c r="B647" i="4"/>
  <c r="C647" i="4"/>
  <c r="D647" i="4"/>
  <c r="E647" i="4"/>
  <c r="F647" i="4"/>
  <c r="G647" i="4"/>
  <c r="H647" i="4"/>
  <c r="I647" i="4"/>
  <c r="J647" i="4"/>
  <c r="K647" i="4"/>
  <c r="B648" i="4"/>
  <c r="C648" i="4"/>
  <c r="D648" i="4"/>
  <c r="E648" i="4"/>
  <c r="F648" i="4"/>
  <c r="G648" i="4"/>
  <c r="H648" i="4"/>
  <c r="I648" i="4"/>
  <c r="J648" i="4"/>
  <c r="K648" i="4"/>
  <c r="B649" i="4"/>
  <c r="C649" i="4"/>
  <c r="D649" i="4"/>
  <c r="E649" i="4"/>
  <c r="F649" i="4"/>
  <c r="G649" i="4"/>
  <c r="H649" i="4"/>
  <c r="I649" i="4"/>
  <c r="J649" i="4"/>
  <c r="K649" i="4"/>
  <c r="B650" i="4"/>
  <c r="C650" i="4"/>
  <c r="D650" i="4"/>
  <c r="E650" i="4"/>
  <c r="F650" i="4"/>
  <c r="G650" i="4"/>
  <c r="H650" i="4"/>
  <c r="I650" i="4"/>
  <c r="J650" i="4"/>
  <c r="K650" i="4"/>
  <c r="B651" i="4"/>
  <c r="C651" i="4"/>
  <c r="D651" i="4"/>
  <c r="E651" i="4"/>
  <c r="F651" i="4"/>
  <c r="G651" i="4"/>
  <c r="H651" i="4"/>
  <c r="I651" i="4"/>
  <c r="J651" i="4"/>
  <c r="K651" i="4"/>
  <c r="B652" i="4"/>
  <c r="C652" i="4"/>
  <c r="D652" i="4"/>
  <c r="E652" i="4"/>
  <c r="F652" i="4"/>
  <c r="G652" i="4"/>
  <c r="H652" i="4"/>
  <c r="I652" i="4"/>
  <c r="J652" i="4"/>
  <c r="K652" i="4"/>
  <c r="B653" i="4"/>
  <c r="C653" i="4"/>
  <c r="D653" i="4"/>
  <c r="E653" i="4"/>
  <c r="F653" i="4"/>
  <c r="G653" i="4"/>
  <c r="H653" i="4"/>
  <c r="I653" i="4"/>
  <c r="J653" i="4"/>
  <c r="K653" i="4"/>
  <c r="B654" i="4"/>
  <c r="C654" i="4"/>
  <c r="D654" i="4"/>
  <c r="E654" i="4"/>
  <c r="F654" i="4"/>
  <c r="G654" i="4"/>
  <c r="H654" i="4"/>
  <c r="I654" i="4"/>
  <c r="J654" i="4"/>
  <c r="K654" i="4"/>
  <c r="B655" i="4"/>
  <c r="C655" i="4"/>
  <c r="D655" i="4"/>
  <c r="E655" i="4"/>
  <c r="F655" i="4"/>
  <c r="G655" i="4"/>
  <c r="H655" i="4"/>
  <c r="I655" i="4"/>
  <c r="J655" i="4"/>
  <c r="K655" i="4"/>
  <c r="B656" i="4"/>
  <c r="C656" i="4"/>
  <c r="D656" i="4"/>
  <c r="E656" i="4"/>
  <c r="F656" i="4"/>
  <c r="G656" i="4"/>
  <c r="H656" i="4"/>
  <c r="I656" i="4"/>
  <c r="J656" i="4"/>
  <c r="K656" i="4"/>
  <c r="B657" i="4"/>
  <c r="C657" i="4"/>
  <c r="D657" i="4"/>
  <c r="E657" i="4"/>
  <c r="F657" i="4"/>
  <c r="G657" i="4"/>
  <c r="H657" i="4"/>
  <c r="I657" i="4"/>
  <c r="J657" i="4"/>
  <c r="K657" i="4"/>
  <c r="B658" i="4"/>
  <c r="C658" i="4"/>
  <c r="D658" i="4"/>
  <c r="E658" i="4"/>
  <c r="F658" i="4"/>
  <c r="G658" i="4"/>
  <c r="H658" i="4"/>
  <c r="I658" i="4"/>
  <c r="J658" i="4"/>
  <c r="K658" i="4"/>
  <c r="B659" i="4"/>
  <c r="C659" i="4"/>
  <c r="D659" i="4"/>
  <c r="E659" i="4"/>
  <c r="F659" i="4"/>
  <c r="G659" i="4"/>
  <c r="H659" i="4"/>
  <c r="I659" i="4"/>
  <c r="J659" i="4"/>
  <c r="K659" i="4"/>
  <c r="B660" i="4"/>
  <c r="C660" i="4"/>
  <c r="D660" i="4"/>
  <c r="E660" i="4"/>
  <c r="F660" i="4"/>
  <c r="G660" i="4"/>
  <c r="H660" i="4"/>
  <c r="I660" i="4"/>
  <c r="J660" i="4"/>
  <c r="K660" i="4"/>
  <c r="B661" i="4"/>
  <c r="C661" i="4"/>
  <c r="D661" i="4"/>
  <c r="E661" i="4"/>
  <c r="F661" i="4"/>
  <c r="G661" i="4"/>
  <c r="H661" i="4"/>
  <c r="I661" i="4"/>
  <c r="J661" i="4"/>
  <c r="K661" i="4"/>
  <c r="B662" i="4"/>
  <c r="C662" i="4"/>
  <c r="D662" i="4"/>
  <c r="E662" i="4"/>
  <c r="F662" i="4"/>
  <c r="G662" i="4"/>
  <c r="H662" i="4"/>
  <c r="I662" i="4"/>
  <c r="J662" i="4"/>
  <c r="K662" i="4"/>
  <c r="B663" i="4"/>
  <c r="C663" i="4"/>
  <c r="D663" i="4"/>
  <c r="E663" i="4"/>
  <c r="F663" i="4"/>
  <c r="G663" i="4"/>
  <c r="H663" i="4"/>
  <c r="I663" i="4"/>
  <c r="J663" i="4"/>
  <c r="K663" i="4"/>
  <c r="B664" i="4"/>
  <c r="C664" i="4"/>
  <c r="D664" i="4"/>
  <c r="E664" i="4"/>
  <c r="F664" i="4"/>
  <c r="G664" i="4"/>
  <c r="H664" i="4"/>
  <c r="I664" i="4"/>
  <c r="J664" i="4"/>
  <c r="K664" i="4"/>
  <c r="B665" i="4"/>
  <c r="C665" i="4"/>
  <c r="D665" i="4"/>
  <c r="E665" i="4"/>
  <c r="F665" i="4"/>
  <c r="G665" i="4"/>
  <c r="H665" i="4"/>
  <c r="I665" i="4"/>
  <c r="J665" i="4"/>
  <c r="K665" i="4"/>
  <c r="B666" i="4"/>
  <c r="C666" i="4"/>
  <c r="D666" i="4"/>
  <c r="E666" i="4"/>
  <c r="F666" i="4"/>
  <c r="G666" i="4"/>
  <c r="H666" i="4"/>
  <c r="I666" i="4"/>
  <c r="J666" i="4"/>
  <c r="K666" i="4"/>
  <c r="B667" i="4"/>
  <c r="C667" i="4"/>
  <c r="D667" i="4"/>
  <c r="E667" i="4"/>
  <c r="F667" i="4"/>
  <c r="G667" i="4"/>
  <c r="H667" i="4"/>
  <c r="I667" i="4"/>
  <c r="J667" i="4"/>
  <c r="K667" i="4"/>
  <c r="B668" i="4"/>
  <c r="C668" i="4"/>
  <c r="D668" i="4"/>
  <c r="E668" i="4"/>
  <c r="F668" i="4"/>
  <c r="G668" i="4"/>
  <c r="H668" i="4"/>
  <c r="I668" i="4"/>
  <c r="J668" i="4"/>
  <c r="K668" i="4"/>
  <c r="B669" i="4"/>
  <c r="C669" i="4"/>
  <c r="D669" i="4"/>
  <c r="E669" i="4"/>
  <c r="F669" i="4"/>
  <c r="G669" i="4"/>
  <c r="H669" i="4"/>
  <c r="I669" i="4"/>
  <c r="J669" i="4"/>
  <c r="K669" i="4"/>
  <c r="B670" i="4"/>
  <c r="C670" i="4"/>
  <c r="D670" i="4"/>
  <c r="E670" i="4"/>
  <c r="F670" i="4"/>
  <c r="G670" i="4"/>
  <c r="H670" i="4"/>
  <c r="I670" i="4"/>
  <c r="J670" i="4"/>
  <c r="K670" i="4"/>
  <c r="B671" i="4"/>
  <c r="C671" i="4"/>
  <c r="D671" i="4"/>
  <c r="E671" i="4"/>
  <c r="F671" i="4"/>
  <c r="G671" i="4"/>
  <c r="H671" i="4"/>
  <c r="I671" i="4"/>
  <c r="J671" i="4"/>
  <c r="K671" i="4"/>
  <c r="B672" i="4"/>
  <c r="C672" i="4"/>
  <c r="D672" i="4"/>
  <c r="E672" i="4"/>
  <c r="F672" i="4"/>
  <c r="G672" i="4"/>
  <c r="H672" i="4"/>
  <c r="I672" i="4"/>
  <c r="J672" i="4"/>
  <c r="K672" i="4"/>
  <c r="B673" i="4"/>
  <c r="C673" i="4"/>
  <c r="D673" i="4"/>
  <c r="E673" i="4"/>
  <c r="F673" i="4"/>
  <c r="G673" i="4"/>
  <c r="H673" i="4"/>
  <c r="I673" i="4"/>
  <c r="J673" i="4"/>
  <c r="K673" i="4"/>
  <c r="B674" i="4"/>
  <c r="C674" i="4"/>
  <c r="D674" i="4"/>
  <c r="E674" i="4"/>
  <c r="F674" i="4"/>
  <c r="G674" i="4"/>
  <c r="H674" i="4"/>
  <c r="I674" i="4"/>
  <c r="J674" i="4"/>
  <c r="K674" i="4"/>
  <c r="B675" i="4"/>
  <c r="C675" i="4"/>
  <c r="D675" i="4"/>
  <c r="E675" i="4"/>
  <c r="F675" i="4"/>
  <c r="G675" i="4"/>
  <c r="H675" i="4"/>
  <c r="I675" i="4"/>
  <c r="J675" i="4"/>
  <c r="K675" i="4"/>
  <c r="B676" i="4"/>
  <c r="C676" i="4"/>
  <c r="D676" i="4"/>
  <c r="E676" i="4"/>
  <c r="F676" i="4"/>
  <c r="G676" i="4"/>
  <c r="H676" i="4"/>
  <c r="I676" i="4"/>
  <c r="J676" i="4"/>
  <c r="K676" i="4"/>
  <c r="B677" i="4"/>
  <c r="C677" i="4"/>
  <c r="D677" i="4"/>
  <c r="E677" i="4"/>
  <c r="F677" i="4"/>
  <c r="G677" i="4"/>
  <c r="H677" i="4"/>
  <c r="I677" i="4"/>
  <c r="J677" i="4"/>
  <c r="K677" i="4"/>
  <c r="B678" i="4"/>
  <c r="C678" i="4"/>
  <c r="D678" i="4"/>
  <c r="E678" i="4"/>
  <c r="F678" i="4"/>
  <c r="G678" i="4"/>
  <c r="H678" i="4"/>
  <c r="I678" i="4"/>
  <c r="J678" i="4"/>
  <c r="K678" i="4"/>
  <c r="B679" i="4"/>
  <c r="C679" i="4"/>
  <c r="D679" i="4"/>
  <c r="E679" i="4"/>
  <c r="F679" i="4"/>
  <c r="G679" i="4"/>
  <c r="H679" i="4"/>
  <c r="I679" i="4"/>
  <c r="J679" i="4"/>
  <c r="K679" i="4"/>
  <c r="B680" i="4"/>
  <c r="C680" i="4"/>
  <c r="D680" i="4"/>
  <c r="E680" i="4"/>
  <c r="F680" i="4"/>
  <c r="G680" i="4"/>
  <c r="H680" i="4"/>
  <c r="I680" i="4"/>
  <c r="J680" i="4"/>
  <c r="K680" i="4"/>
  <c r="B681" i="4"/>
  <c r="C681" i="4"/>
  <c r="D681" i="4"/>
  <c r="E681" i="4"/>
  <c r="F681" i="4"/>
  <c r="G681" i="4"/>
  <c r="H681" i="4"/>
  <c r="I681" i="4"/>
  <c r="J681" i="4"/>
  <c r="K681" i="4"/>
  <c r="B682" i="4"/>
  <c r="C682" i="4"/>
  <c r="D682" i="4"/>
  <c r="E682" i="4"/>
  <c r="F682" i="4"/>
  <c r="G682" i="4"/>
  <c r="H682" i="4"/>
  <c r="I682" i="4"/>
  <c r="J682" i="4"/>
  <c r="K682" i="4"/>
  <c r="B683" i="4"/>
  <c r="C683" i="4"/>
  <c r="D683" i="4"/>
  <c r="E683" i="4"/>
  <c r="F683" i="4"/>
  <c r="G683" i="4"/>
  <c r="H683" i="4"/>
  <c r="I683" i="4"/>
  <c r="J683" i="4"/>
  <c r="K683" i="4"/>
  <c r="B684" i="4"/>
  <c r="C684" i="4"/>
  <c r="D684" i="4"/>
  <c r="E684" i="4"/>
  <c r="F684" i="4"/>
  <c r="G684" i="4"/>
  <c r="H684" i="4"/>
  <c r="I684" i="4"/>
  <c r="J684" i="4"/>
  <c r="K684" i="4"/>
  <c r="B685" i="4"/>
  <c r="C685" i="4"/>
  <c r="D685" i="4"/>
  <c r="E685" i="4"/>
  <c r="F685" i="4"/>
  <c r="G685" i="4"/>
  <c r="H685" i="4"/>
  <c r="I685" i="4"/>
  <c r="J685" i="4"/>
  <c r="K685" i="4"/>
  <c r="B686" i="4"/>
  <c r="C686" i="4"/>
  <c r="D686" i="4"/>
  <c r="E686" i="4"/>
  <c r="F686" i="4"/>
  <c r="G686" i="4"/>
  <c r="H686" i="4"/>
  <c r="I686" i="4"/>
  <c r="J686" i="4"/>
  <c r="K686" i="4"/>
  <c r="B687" i="4"/>
  <c r="C687" i="4"/>
  <c r="D687" i="4"/>
  <c r="E687" i="4"/>
  <c r="F687" i="4"/>
  <c r="G687" i="4"/>
  <c r="H687" i="4"/>
  <c r="I687" i="4"/>
  <c r="J687" i="4"/>
  <c r="K687" i="4"/>
  <c r="B688" i="4"/>
  <c r="C688" i="4"/>
  <c r="D688" i="4"/>
  <c r="E688" i="4"/>
  <c r="F688" i="4"/>
  <c r="G688" i="4"/>
  <c r="H688" i="4"/>
  <c r="I688" i="4"/>
  <c r="J688" i="4"/>
  <c r="K688" i="4"/>
  <c r="B689" i="4"/>
  <c r="C689" i="4"/>
  <c r="D689" i="4"/>
  <c r="E689" i="4"/>
  <c r="F689" i="4"/>
  <c r="G689" i="4"/>
  <c r="H689" i="4"/>
  <c r="I689" i="4"/>
  <c r="J689" i="4"/>
  <c r="K689" i="4"/>
  <c r="B690" i="4"/>
  <c r="C690" i="4"/>
  <c r="D690" i="4"/>
  <c r="E690" i="4"/>
  <c r="F690" i="4"/>
  <c r="G690" i="4"/>
  <c r="H690" i="4"/>
  <c r="I690" i="4"/>
  <c r="J690" i="4"/>
  <c r="K690" i="4"/>
  <c r="B691" i="4"/>
  <c r="C691" i="4"/>
  <c r="D691" i="4"/>
  <c r="E691" i="4"/>
  <c r="F691" i="4"/>
  <c r="G691" i="4"/>
  <c r="H691" i="4"/>
  <c r="I691" i="4"/>
  <c r="J691" i="4"/>
  <c r="K691" i="4"/>
  <c r="B692" i="4"/>
  <c r="C692" i="4"/>
  <c r="D692" i="4"/>
  <c r="E692" i="4"/>
  <c r="F692" i="4"/>
  <c r="G692" i="4"/>
  <c r="H692" i="4"/>
  <c r="I692" i="4"/>
  <c r="J692" i="4"/>
  <c r="K692" i="4"/>
  <c r="B693" i="4"/>
  <c r="C693" i="4"/>
  <c r="D693" i="4"/>
  <c r="E693" i="4"/>
  <c r="F693" i="4"/>
  <c r="G693" i="4"/>
  <c r="H693" i="4"/>
  <c r="I693" i="4"/>
  <c r="J693" i="4"/>
  <c r="K693" i="4"/>
  <c r="B694" i="4"/>
  <c r="C694" i="4"/>
  <c r="D694" i="4"/>
  <c r="E694" i="4"/>
  <c r="F694" i="4"/>
  <c r="G694" i="4"/>
  <c r="H694" i="4"/>
  <c r="I694" i="4"/>
  <c r="J694" i="4"/>
  <c r="K694" i="4"/>
  <c r="B695" i="4"/>
  <c r="C695" i="4"/>
  <c r="D695" i="4"/>
  <c r="E695" i="4"/>
  <c r="F695" i="4"/>
  <c r="G695" i="4"/>
  <c r="H695" i="4"/>
  <c r="I695" i="4"/>
  <c r="J695" i="4"/>
  <c r="K695" i="4"/>
  <c r="B696" i="4"/>
  <c r="C696" i="4"/>
  <c r="D696" i="4"/>
  <c r="E696" i="4"/>
  <c r="F696" i="4"/>
  <c r="G696" i="4"/>
  <c r="H696" i="4"/>
  <c r="I696" i="4"/>
  <c r="J696" i="4"/>
  <c r="K696" i="4"/>
  <c r="B697" i="4"/>
  <c r="C697" i="4"/>
  <c r="D697" i="4"/>
  <c r="E697" i="4"/>
  <c r="F697" i="4"/>
  <c r="G697" i="4"/>
  <c r="H697" i="4"/>
  <c r="I697" i="4"/>
  <c r="J697" i="4"/>
  <c r="K697" i="4"/>
  <c r="B698" i="4"/>
  <c r="C698" i="4"/>
  <c r="D698" i="4"/>
  <c r="E698" i="4"/>
  <c r="F698" i="4"/>
  <c r="G698" i="4"/>
  <c r="H698" i="4"/>
  <c r="I698" i="4"/>
  <c r="J698" i="4"/>
  <c r="K698" i="4"/>
  <c r="B699" i="4"/>
  <c r="C699" i="4"/>
  <c r="D699" i="4"/>
  <c r="E699" i="4"/>
  <c r="F699" i="4"/>
  <c r="G699" i="4"/>
  <c r="H699" i="4"/>
  <c r="I699" i="4"/>
  <c r="J699" i="4"/>
  <c r="K699" i="4"/>
  <c r="B700" i="4"/>
  <c r="C700" i="4"/>
  <c r="D700" i="4"/>
  <c r="E700" i="4"/>
  <c r="F700" i="4"/>
  <c r="G700" i="4"/>
  <c r="H700" i="4"/>
  <c r="I700" i="4"/>
  <c r="J700" i="4"/>
  <c r="K700" i="4"/>
  <c r="B701" i="4"/>
  <c r="C701" i="4"/>
  <c r="D701" i="4"/>
  <c r="E701" i="4"/>
  <c r="F701" i="4"/>
  <c r="G701" i="4"/>
  <c r="H701" i="4"/>
  <c r="I701" i="4"/>
  <c r="J701" i="4"/>
  <c r="K701" i="4"/>
  <c r="B702" i="4"/>
  <c r="C702" i="4"/>
  <c r="D702" i="4"/>
  <c r="E702" i="4"/>
  <c r="F702" i="4"/>
  <c r="G702" i="4"/>
  <c r="H702" i="4"/>
  <c r="I702" i="4"/>
  <c r="J702" i="4"/>
  <c r="K702" i="4"/>
  <c r="B703" i="4"/>
  <c r="C703" i="4"/>
  <c r="D703" i="4"/>
  <c r="E703" i="4"/>
  <c r="F703" i="4"/>
  <c r="G703" i="4"/>
  <c r="H703" i="4"/>
  <c r="I703" i="4"/>
  <c r="J703" i="4"/>
  <c r="K703" i="4"/>
  <c r="B704" i="4"/>
  <c r="C704" i="4"/>
  <c r="D704" i="4"/>
  <c r="E704" i="4"/>
  <c r="F704" i="4"/>
  <c r="G704" i="4"/>
  <c r="H704" i="4"/>
  <c r="I704" i="4"/>
  <c r="J704" i="4"/>
  <c r="K704" i="4"/>
  <c r="B705" i="4"/>
  <c r="C705" i="4"/>
  <c r="D705" i="4"/>
  <c r="E705" i="4"/>
  <c r="F705" i="4"/>
  <c r="G705" i="4"/>
  <c r="H705" i="4"/>
  <c r="I705" i="4"/>
  <c r="J705" i="4"/>
  <c r="K705" i="4"/>
  <c r="B706" i="4"/>
  <c r="C706" i="4"/>
  <c r="D706" i="4"/>
  <c r="E706" i="4"/>
  <c r="F706" i="4"/>
  <c r="G706" i="4"/>
  <c r="H706" i="4"/>
  <c r="I706" i="4"/>
  <c r="J706" i="4"/>
  <c r="K706" i="4"/>
  <c r="B707" i="4"/>
  <c r="C707" i="4"/>
  <c r="D707" i="4"/>
  <c r="E707" i="4"/>
  <c r="F707" i="4"/>
  <c r="G707" i="4"/>
  <c r="H707" i="4"/>
  <c r="I707" i="4"/>
  <c r="J707" i="4"/>
  <c r="K707" i="4"/>
  <c r="B708" i="4"/>
  <c r="C708" i="4"/>
  <c r="D708" i="4"/>
  <c r="E708" i="4"/>
  <c r="F708" i="4"/>
  <c r="G708" i="4"/>
  <c r="H708" i="4"/>
  <c r="I708" i="4"/>
  <c r="J708" i="4"/>
  <c r="K708" i="4"/>
  <c r="B709" i="4"/>
  <c r="C709" i="4"/>
  <c r="D709" i="4"/>
  <c r="E709" i="4"/>
  <c r="F709" i="4"/>
  <c r="G709" i="4"/>
  <c r="H709" i="4"/>
  <c r="I709" i="4"/>
  <c r="J709" i="4"/>
  <c r="K709" i="4"/>
  <c r="B710" i="4"/>
  <c r="C710" i="4"/>
  <c r="D710" i="4"/>
  <c r="E710" i="4"/>
  <c r="F710" i="4"/>
  <c r="G710" i="4"/>
  <c r="H710" i="4"/>
  <c r="I710" i="4"/>
  <c r="J710" i="4"/>
  <c r="K710" i="4"/>
  <c r="B711" i="4"/>
  <c r="C711" i="4"/>
  <c r="D711" i="4"/>
  <c r="E711" i="4"/>
  <c r="F711" i="4"/>
  <c r="G711" i="4"/>
  <c r="H711" i="4"/>
  <c r="I711" i="4"/>
  <c r="J711" i="4"/>
  <c r="K711" i="4"/>
  <c r="B712" i="4"/>
  <c r="C712" i="4"/>
  <c r="D712" i="4"/>
  <c r="E712" i="4"/>
  <c r="F712" i="4"/>
  <c r="G712" i="4"/>
  <c r="H712" i="4"/>
  <c r="I712" i="4"/>
  <c r="J712" i="4"/>
  <c r="K712" i="4"/>
  <c r="B713" i="4"/>
  <c r="C713" i="4"/>
  <c r="D713" i="4"/>
  <c r="E713" i="4"/>
  <c r="F713" i="4"/>
  <c r="G713" i="4"/>
  <c r="H713" i="4"/>
  <c r="I713" i="4"/>
  <c r="J713" i="4"/>
  <c r="K713" i="4"/>
  <c r="B714" i="4"/>
  <c r="C714" i="4"/>
  <c r="D714" i="4"/>
  <c r="E714" i="4"/>
  <c r="F714" i="4"/>
  <c r="G714" i="4"/>
  <c r="H714" i="4"/>
  <c r="I714" i="4"/>
  <c r="J714" i="4"/>
  <c r="K714" i="4"/>
  <c r="B715" i="4"/>
  <c r="C715" i="4"/>
  <c r="D715" i="4"/>
  <c r="E715" i="4"/>
  <c r="F715" i="4"/>
  <c r="G715" i="4"/>
  <c r="H715" i="4"/>
  <c r="I715" i="4"/>
  <c r="J715" i="4"/>
  <c r="K715" i="4"/>
  <c r="B716" i="4"/>
  <c r="C716" i="4"/>
  <c r="D716" i="4"/>
  <c r="E716" i="4"/>
  <c r="F716" i="4"/>
  <c r="G716" i="4"/>
  <c r="H716" i="4"/>
  <c r="I716" i="4"/>
  <c r="J716" i="4"/>
  <c r="K716" i="4"/>
  <c r="B717" i="4"/>
  <c r="C717" i="4"/>
  <c r="D717" i="4"/>
  <c r="E717" i="4"/>
  <c r="F717" i="4"/>
  <c r="G717" i="4"/>
  <c r="H717" i="4"/>
  <c r="I717" i="4"/>
  <c r="J717" i="4"/>
  <c r="K717" i="4"/>
  <c r="B718" i="4"/>
  <c r="C718" i="4"/>
  <c r="D718" i="4"/>
  <c r="E718" i="4"/>
  <c r="F718" i="4"/>
  <c r="G718" i="4"/>
  <c r="H718" i="4"/>
  <c r="I718" i="4"/>
  <c r="J718" i="4"/>
  <c r="K718" i="4"/>
  <c r="B719" i="4"/>
  <c r="C719" i="4"/>
  <c r="D719" i="4"/>
  <c r="E719" i="4"/>
  <c r="F719" i="4"/>
  <c r="G719" i="4"/>
  <c r="H719" i="4"/>
  <c r="I719" i="4"/>
  <c r="J719" i="4"/>
  <c r="K719" i="4"/>
  <c r="B720" i="4"/>
  <c r="C720" i="4"/>
  <c r="D720" i="4"/>
  <c r="E720" i="4"/>
  <c r="F720" i="4"/>
  <c r="G720" i="4"/>
  <c r="H720" i="4"/>
  <c r="I720" i="4"/>
  <c r="J720" i="4"/>
  <c r="K720" i="4"/>
  <c r="B721" i="4"/>
  <c r="C721" i="4"/>
  <c r="D721" i="4"/>
  <c r="E721" i="4"/>
  <c r="F721" i="4"/>
  <c r="G721" i="4"/>
  <c r="H721" i="4"/>
  <c r="I721" i="4"/>
  <c r="J721" i="4"/>
  <c r="K721" i="4"/>
  <c r="B722" i="4"/>
  <c r="C722" i="4"/>
  <c r="D722" i="4"/>
  <c r="E722" i="4"/>
  <c r="F722" i="4"/>
  <c r="G722" i="4"/>
  <c r="H722" i="4"/>
  <c r="I722" i="4"/>
  <c r="J722" i="4"/>
  <c r="K722" i="4"/>
  <c r="B723" i="4"/>
  <c r="C723" i="4"/>
  <c r="D723" i="4"/>
  <c r="E723" i="4"/>
  <c r="F723" i="4"/>
  <c r="G723" i="4"/>
  <c r="H723" i="4"/>
  <c r="I723" i="4"/>
  <c r="J723" i="4"/>
  <c r="K723" i="4"/>
  <c r="B724" i="4"/>
  <c r="C724" i="4"/>
  <c r="D724" i="4"/>
  <c r="E724" i="4"/>
  <c r="F724" i="4"/>
  <c r="G724" i="4"/>
  <c r="H724" i="4"/>
  <c r="I724" i="4"/>
  <c r="J724" i="4"/>
  <c r="K724" i="4"/>
  <c r="B725" i="4"/>
  <c r="C725" i="4"/>
  <c r="D725" i="4"/>
  <c r="E725" i="4"/>
  <c r="F725" i="4"/>
  <c r="G725" i="4"/>
  <c r="H725" i="4"/>
  <c r="I725" i="4"/>
  <c r="J725" i="4"/>
  <c r="K725" i="4"/>
  <c r="B726" i="4"/>
  <c r="C726" i="4"/>
  <c r="D726" i="4"/>
  <c r="E726" i="4"/>
  <c r="F726" i="4"/>
  <c r="G726" i="4"/>
  <c r="H726" i="4"/>
  <c r="I726" i="4"/>
  <c r="J726" i="4"/>
  <c r="K726" i="4"/>
  <c r="B727" i="4"/>
  <c r="C727" i="4"/>
  <c r="D727" i="4"/>
  <c r="E727" i="4"/>
  <c r="F727" i="4"/>
  <c r="G727" i="4"/>
  <c r="H727" i="4"/>
  <c r="I727" i="4"/>
  <c r="J727" i="4"/>
  <c r="K727" i="4"/>
  <c r="B728" i="4"/>
  <c r="C728" i="4"/>
  <c r="D728" i="4"/>
  <c r="E728" i="4"/>
  <c r="F728" i="4"/>
  <c r="G728" i="4"/>
  <c r="H728" i="4"/>
  <c r="I728" i="4"/>
  <c r="J728" i="4"/>
  <c r="K728" i="4"/>
  <c r="B729" i="4"/>
  <c r="C729" i="4"/>
  <c r="D729" i="4"/>
  <c r="E729" i="4"/>
  <c r="F729" i="4"/>
  <c r="G729" i="4"/>
  <c r="H729" i="4"/>
  <c r="I729" i="4"/>
  <c r="J729" i="4"/>
  <c r="K729" i="4"/>
  <c r="B730" i="4"/>
  <c r="C730" i="4"/>
  <c r="D730" i="4"/>
  <c r="E730" i="4"/>
  <c r="F730" i="4"/>
  <c r="G730" i="4"/>
  <c r="H730" i="4"/>
  <c r="I730" i="4"/>
  <c r="J730" i="4"/>
  <c r="K730" i="4"/>
  <c r="B731" i="4"/>
  <c r="C731" i="4"/>
  <c r="D731" i="4"/>
  <c r="E731" i="4"/>
  <c r="F731" i="4"/>
  <c r="G731" i="4"/>
  <c r="H731" i="4"/>
  <c r="I731" i="4"/>
  <c r="J731" i="4"/>
  <c r="K731" i="4"/>
  <c r="B732" i="4"/>
  <c r="C732" i="4"/>
  <c r="D732" i="4"/>
  <c r="E732" i="4"/>
  <c r="F732" i="4"/>
  <c r="G732" i="4"/>
  <c r="H732" i="4"/>
  <c r="I732" i="4"/>
  <c r="J732" i="4"/>
  <c r="K732" i="4"/>
  <c r="B733" i="4"/>
  <c r="C733" i="4"/>
  <c r="D733" i="4"/>
  <c r="E733" i="4"/>
  <c r="F733" i="4"/>
  <c r="G733" i="4"/>
  <c r="H733" i="4"/>
  <c r="I733" i="4"/>
  <c r="J733" i="4"/>
  <c r="K733" i="4"/>
  <c r="B734" i="4"/>
  <c r="C734" i="4"/>
  <c r="D734" i="4"/>
  <c r="E734" i="4"/>
  <c r="F734" i="4"/>
  <c r="G734" i="4"/>
  <c r="H734" i="4"/>
  <c r="I734" i="4"/>
  <c r="J734" i="4"/>
  <c r="K734" i="4"/>
  <c r="B735" i="4"/>
  <c r="C735" i="4"/>
  <c r="D735" i="4"/>
  <c r="E735" i="4"/>
  <c r="F735" i="4"/>
  <c r="G735" i="4"/>
  <c r="H735" i="4"/>
  <c r="I735" i="4"/>
  <c r="J735" i="4"/>
  <c r="K735" i="4"/>
  <c r="B736" i="4"/>
  <c r="C736" i="4"/>
  <c r="D736" i="4"/>
  <c r="E736" i="4"/>
  <c r="F736" i="4"/>
  <c r="G736" i="4"/>
  <c r="H736" i="4"/>
  <c r="I736" i="4"/>
  <c r="J736" i="4"/>
  <c r="K736" i="4"/>
  <c r="B737" i="4"/>
  <c r="C737" i="4"/>
  <c r="D737" i="4"/>
  <c r="E737" i="4"/>
  <c r="F737" i="4"/>
  <c r="G737" i="4"/>
  <c r="H737" i="4"/>
  <c r="I737" i="4"/>
  <c r="J737" i="4"/>
  <c r="K737" i="4"/>
  <c r="B738" i="4"/>
  <c r="C738" i="4"/>
  <c r="D738" i="4"/>
  <c r="E738" i="4"/>
  <c r="F738" i="4"/>
  <c r="G738" i="4"/>
  <c r="H738" i="4"/>
  <c r="I738" i="4"/>
  <c r="J738" i="4"/>
  <c r="K738" i="4"/>
  <c r="B739" i="4"/>
  <c r="C739" i="4"/>
  <c r="D739" i="4"/>
  <c r="E739" i="4"/>
  <c r="F739" i="4"/>
  <c r="G739" i="4"/>
  <c r="H739" i="4"/>
  <c r="I739" i="4"/>
  <c r="J739" i="4"/>
  <c r="K739" i="4"/>
  <c r="B740" i="4"/>
  <c r="C740" i="4"/>
  <c r="D740" i="4"/>
  <c r="E740" i="4"/>
  <c r="F740" i="4"/>
  <c r="G740" i="4"/>
  <c r="H740" i="4"/>
  <c r="I740" i="4"/>
  <c r="J740" i="4"/>
  <c r="K740" i="4"/>
  <c r="B741" i="4"/>
  <c r="C741" i="4"/>
  <c r="D741" i="4"/>
  <c r="E741" i="4"/>
  <c r="F741" i="4"/>
  <c r="G741" i="4"/>
  <c r="H741" i="4"/>
  <c r="I741" i="4"/>
  <c r="J741" i="4"/>
  <c r="K741" i="4"/>
  <c r="B742" i="4"/>
  <c r="C742" i="4"/>
  <c r="D742" i="4"/>
  <c r="E742" i="4"/>
  <c r="F742" i="4"/>
  <c r="G742" i="4"/>
  <c r="H742" i="4"/>
  <c r="I742" i="4"/>
  <c r="J742" i="4"/>
  <c r="K742" i="4"/>
  <c r="B743" i="4"/>
  <c r="C743" i="4"/>
  <c r="D743" i="4"/>
  <c r="E743" i="4"/>
  <c r="F743" i="4"/>
  <c r="G743" i="4"/>
  <c r="H743" i="4"/>
  <c r="I743" i="4"/>
  <c r="J743" i="4"/>
  <c r="K743" i="4"/>
  <c r="B744" i="4"/>
  <c r="C744" i="4"/>
  <c r="D744" i="4"/>
  <c r="E744" i="4"/>
  <c r="F744" i="4"/>
  <c r="G744" i="4"/>
  <c r="H744" i="4"/>
  <c r="I744" i="4"/>
  <c r="J744" i="4"/>
  <c r="K744" i="4"/>
  <c r="B745" i="4"/>
  <c r="C745" i="4"/>
  <c r="D745" i="4"/>
  <c r="E745" i="4"/>
  <c r="F745" i="4"/>
  <c r="G745" i="4"/>
  <c r="H745" i="4"/>
  <c r="I745" i="4"/>
  <c r="J745" i="4"/>
  <c r="K745" i="4"/>
  <c r="B746" i="4"/>
  <c r="C746" i="4"/>
  <c r="D746" i="4"/>
  <c r="E746" i="4"/>
  <c r="F746" i="4"/>
  <c r="G746" i="4"/>
  <c r="H746" i="4"/>
  <c r="I746" i="4"/>
  <c r="J746" i="4"/>
  <c r="K746" i="4"/>
  <c r="B747" i="4"/>
  <c r="C747" i="4"/>
  <c r="D747" i="4"/>
  <c r="E747" i="4"/>
  <c r="F747" i="4"/>
  <c r="G747" i="4"/>
  <c r="H747" i="4"/>
  <c r="I747" i="4"/>
  <c r="J747" i="4"/>
  <c r="K747" i="4"/>
  <c r="B748" i="4"/>
  <c r="C748" i="4"/>
  <c r="D748" i="4"/>
  <c r="E748" i="4"/>
  <c r="F748" i="4"/>
  <c r="G748" i="4"/>
  <c r="H748" i="4"/>
  <c r="I748" i="4"/>
  <c r="J748" i="4"/>
  <c r="K748" i="4"/>
  <c r="B749" i="4"/>
  <c r="C749" i="4"/>
  <c r="D749" i="4"/>
  <c r="E749" i="4"/>
  <c r="F749" i="4"/>
  <c r="G749" i="4"/>
  <c r="H749" i="4"/>
  <c r="I749" i="4"/>
  <c r="J749" i="4"/>
  <c r="K749" i="4"/>
  <c r="B750" i="4"/>
  <c r="C750" i="4"/>
  <c r="D750" i="4"/>
  <c r="E750" i="4"/>
  <c r="F750" i="4"/>
  <c r="G750" i="4"/>
  <c r="H750" i="4"/>
  <c r="I750" i="4"/>
  <c r="J750" i="4"/>
  <c r="K750" i="4"/>
  <c r="B751" i="4"/>
  <c r="C751" i="4"/>
  <c r="D751" i="4"/>
  <c r="E751" i="4"/>
  <c r="F751" i="4"/>
  <c r="G751" i="4"/>
  <c r="H751" i="4"/>
  <c r="I751" i="4"/>
  <c r="J751" i="4"/>
  <c r="K751" i="4"/>
  <c r="B752" i="4"/>
  <c r="C752" i="4"/>
  <c r="D752" i="4"/>
  <c r="E752" i="4"/>
  <c r="F752" i="4"/>
  <c r="G752" i="4"/>
  <c r="H752" i="4"/>
  <c r="I752" i="4"/>
  <c r="J752" i="4"/>
  <c r="K752" i="4"/>
  <c r="B753" i="4"/>
  <c r="C753" i="4"/>
  <c r="D753" i="4"/>
  <c r="E753" i="4"/>
  <c r="F753" i="4"/>
  <c r="G753" i="4"/>
  <c r="H753" i="4"/>
  <c r="I753" i="4"/>
  <c r="J753" i="4"/>
  <c r="K753" i="4"/>
  <c r="B754" i="4"/>
  <c r="C754" i="4"/>
  <c r="D754" i="4"/>
  <c r="E754" i="4"/>
  <c r="F754" i="4"/>
  <c r="G754" i="4"/>
  <c r="H754" i="4"/>
  <c r="I754" i="4"/>
  <c r="J754" i="4"/>
  <c r="K754" i="4"/>
  <c r="B755" i="4"/>
  <c r="C755" i="4"/>
  <c r="D755" i="4"/>
  <c r="E755" i="4"/>
  <c r="F755" i="4"/>
  <c r="G755" i="4"/>
  <c r="H755" i="4"/>
  <c r="I755" i="4"/>
  <c r="J755" i="4"/>
  <c r="K755" i="4"/>
  <c r="B756" i="4"/>
  <c r="C756" i="4"/>
  <c r="D756" i="4"/>
  <c r="E756" i="4"/>
  <c r="F756" i="4"/>
  <c r="G756" i="4"/>
  <c r="H756" i="4"/>
  <c r="I756" i="4"/>
  <c r="J756" i="4"/>
  <c r="K756" i="4"/>
  <c r="B757" i="4"/>
  <c r="C757" i="4"/>
  <c r="D757" i="4"/>
  <c r="E757" i="4"/>
  <c r="F757" i="4"/>
  <c r="G757" i="4"/>
  <c r="H757" i="4"/>
  <c r="I757" i="4"/>
  <c r="J757" i="4"/>
  <c r="K757" i="4"/>
  <c r="B758" i="4"/>
  <c r="C758" i="4"/>
  <c r="D758" i="4"/>
  <c r="E758" i="4"/>
  <c r="F758" i="4"/>
  <c r="G758" i="4"/>
  <c r="H758" i="4"/>
  <c r="I758" i="4"/>
  <c r="J758" i="4"/>
  <c r="K758" i="4"/>
  <c r="B759" i="4"/>
  <c r="C759" i="4"/>
  <c r="D759" i="4"/>
  <c r="E759" i="4"/>
  <c r="F759" i="4"/>
  <c r="G759" i="4"/>
  <c r="H759" i="4"/>
  <c r="I759" i="4"/>
  <c r="J759" i="4"/>
  <c r="K759" i="4"/>
  <c r="B760" i="4"/>
  <c r="C760" i="4"/>
  <c r="D760" i="4"/>
  <c r="E760" i="4"/>
  <c r="F760" i="4"/>
  <c r="G760" i="4"/>
  <c r="H760" i="4"/>
  <c r="I760" i="4"/>
  <c r="J760" i="4"/>
  <c r="K760" i="4"/>
  <c r="B761" i="4"/>
  <c r="C761" i="4"/>
  <c r="D761" i="4"/>
  <c r="E761" i="4"/>
  <c r="F761" i="4"/>
  <c r="G761" i="4"/>
  <c r="H761" i="4"/>
  <c r="I761" i="4"/>
  <c r="J761" i="4"/>
  <c r="K761" i="4"/>
  <c r="B762" i="4"/>
  <c r="C762" i="4"/>
  <c r="D762" i="4"/>
  <c r="E762" i="4"/>
  <c r="F762" i="4"/>
  <c r="G762" i="4"/>
  <c r="H762" i="4"/>
  <c r="I762" i="4"/>
  <c r="J762" i="4"/>
  <c r="K762" i="4"/>
  <c r="B763" i="4"/>
  <c r="C763" i="4"/>
  <c r="D763" i="4"/>
  <c r="E763" i="4"/>
  <c r="F763" i="4"/>
  <c r="G763" i="4"/>
  <c r="H763" i="4"/>
  <c r="I763" i="4"/>
  <c r="J763" i="4"/>
  <c r="K763" i="4"/>
  <c r="B764" i="4"/>
  <c r="C764" i="4"/>
  <c r="D764" i="4"/>
  <c r="E764" i="4"/>
  <c r="F764" i="4"/>
  <c r="G764" i="4"/>
  <c r="H764" i="4"/>
  <c r="I764" i="4"/>
  <c r="J764" i="4"/>
  <c r="K764" i="4"/>
  <c r="B765" i="4"/>
  <c r="C765" i="4"/>
  <c r="D765" i="4"/>
  <c r="E765" i="4"/>
  <c r="F765" i="4"/>
  <c r="G765" i="4"/>
  <c r="H765" i="4"/>
  <c r="I765" i="4"/>
  <c r="J765" i="4"/>
  <c r="K765" i="4"/>
  <c r="B766" i="4"/>
  <c r="C766" i="4"/>
  <c r="D766" i="4"/>
  <c r="E766" i="4"/>
  <c r="F766" i="4"/>
  <c r="G766" i="4"/>
  <c r="H766" i="4"/>
  <c r="I766" i="4"/>
  <c r="J766" i="4"/>
  <c r="K766" i="4"/>
  <c r="B767" i="4"/>
  <c r="C767" i="4"/>
  <c r="D767" i="4"/>
  <c r="E767" i="4"/>
  <c r="F767" i="4"/>
  <c r="G767" i="4"/>
  <c r="H767" i="4"/>
  <c r="I767" i="4"/>
  <c r="J767" i="4"/>
  <c r="K767" i="4"/>
  <c r="B768" i="4"/>
  <c r="C768" i="4"/>
  <c r="D768" i="4"/>
  <c r="E768" i="4"/>
  <c r="F768" i="4"/>
  <c r="G768" i="4"/>
  <c r="H768" i="4"/>
  <c r="I768" i="4"/>
  <c r="J768" i="4"/>
  <c r="K768" i="4"/>
  <c r="B769" i="4"/>
  <c r="C769" i="4"/>
  <c r="D769" i="4"/>
  <c r="E769" i="4"/>
  <c r="F769" i="4"/>
  <c r="G769" i="4"/>
  <c r="H769" i="4"/>
  <c r="I769" i="4"/>
  <c r="J769" i="4"/>
  <c r="K769" i="4"/>
  <c r="B770" i="4"/>
  <c r="C770" i="4"/>
  <c r="D770" i="4"/>
  <c r="E770" i="4"/>
  <c r="F770" i="4"/>
  <c r="G770" i="4"/>
  <c r="H770" i="4"/>
  <c r="I770" i="4"/>
  <c r="J770" i="4"/>
  <c r="K770" i="4"/>
  <c r="B771" i="4"/>
  <c r="C771" i="4"/>
  <c r="D771" i="4"/>
  <c r="E771" i="4"/>
  <c r="F771" i="4"/>
  <c r="G771" i="4"/>
  <c r="H771" i="4"/>
  <c r="I771" i="4"/>
  <c r="J771" i="4"/>
  <c r="K771" i="4"/>
  <c r="B772" i="4"/>
  <c r="C772" i="4"/>
  <c r="D772" i="4"/>
  <c r="E772" i="4"/>
  <c r="F772" i="4"/>
  <c r="G772" i="4"/>
  <c r="H772" i="4"/>
  <c r="I772" i="4"/>
  <c r="J772" i="4"/>
  <c r="K772" i="4"/>
  <c r="B773" i="4"/>
  <c r="C773" i="4"/>
  <c r="D773" i="4"/>
  <c r="E773" i="4"/>
  <c r="F773" i="4"/>
  <c r="G773" i="4"/>
  <c r="H773" i="4"/>
  <c r="I773" i="4"/>
  <c r="J773" i="4"/>
  <c r="K773" i="4"/>
  <c r="B774" i="4"/>
  <c r="C774" i="4"/>
  <c r="D774" i="4"/>
  <c r="E774" i="4"/>
  <c r="F774" i="4"/>
  <c r="G774" i="4"/>
  <c r="H774" i="4"/>
  <c r="I774" i="4"/>
  <c r="J774" i="4"/>
  <c r="K774" i="4"/>
  <c r="B775" i="4"/>
  <c r="C775" i="4"/>
  <c r="D775" i="4"/>
  <c r="E775" i="4"/>
  <c r="F775" i="4"/>
  <c r="G775" i="4"/>
  <c r="H775" i="4"/>
  <c r="I775" i="4"/>
  <c r="J775" i="4"/>
  <c r="K775" i="4"/>
  <c r="B776" i="4"/>
  <c r="C776" i="4"/>
  <c r="D776" i="4"/>
  <c r="E776" i="4"/>
  <c r="F776" i="4"/>
  <c r="G776" i="4"/>
  <c r="H776" i="4"/>
  <c r="I776" i="4"/>
  <c r="J776" i="4"/>
  <c r="K776" i="4"/>
  <c r="B777" i="4"/>
  <c r="C777" i="4"/>
  <c r="D777" i="4"/>
  <c r="E777" i="4"/>
  <c r="F777" i="4"/>
  <c r="G777" i="4"/>
  <c r="H777" i="4"/>
  <c r="I777" i="4"/>
  <c r="J777" i="4"/>
  <c r="K777" i="4"/>
  <c r="B778" i="4"/>
  <c r="C778" i="4"/>
  <c r="D778" i="4"/>
  <c r="E778" i="4"/>
  <c r="F778" i="4"/>
  <c r="G778" i="4"/>
  <c r="H778" i="4"/>
  <c r="I778" i="4"/>
  <c r="J778" i="4"/>
  <c r="K778" i="4"/>
  <c r="B779" i="4"/>
  <c r="C779" i="4"/>
  <c r="D779" i="4"/>
  <c r="E779" i="4"/>
  <c r="F779" i="4"/>
  <c r="G779" i="4"/>
  <c r="H779" i="4"/>
  <c r="I779" i="4"/>
  <c r="J779" i="4"/>
  <c r="K779" i="4"/>
  <c r="B780" i="4"/>
  <c r="C780" i="4"/>
  <c r="D780" i="4"/>
  <c r="E780" i="4"/>
  <c r="F780" i="4"/>
  <c r="G780" i="4"/>
  <c r="H780" i="4"/>
  <c r="I780" i="4"/>
  <c r="J780" i="4"/>
  <c r="K780" i="4"/>
  <c r="B781" i="4"/>
  <c r="C781" i="4"/>
  <c r="D781" i="4"/>
  <c r="E781" i="4"/>
  <c r="F781" i="4"/>
  <c r="G781" i="4"/>
  <c r="H781" i="4"/>
  <c r="I781" i="4"/>
  <c r="J781" i="4"/>
  <c r="K781" i="4"/>
  <c r="B782" i="4"/>
  <c r="C782" i="4"/>
  <c r="D782" i="4"/>
  <c r="E782" i="4"/>
  <c r="F782" i="4"/>
  <c r="G782" i="4"/>
  <c r="H782" i="4"/>
  <c r="I782" i="4"/>
  <c r="J782" i="4"/>
  <c r="K782" i="4"/>
  <c r="B783" i="4"/>
  <c r="C783" i="4"/>
  <c r="D783" i="4"/>
  <c r="E783" i="4"/>
  <c r="F783" i="4"/>
  <c r="G783" i="4"/>
  <c r="H783" i="4"/>
  <c r="I783" i="4"/>
  <c r="J783" i="4"/>
  <c r="K783" i="4"/>
  <c r="B784" i="4"/>
  <c r="C784" i="4"/>
  <c r="D784" i="4"/>
  <c r="E784" i="4"/>
  <c r="F784" i="4"/>
  <c r="G784" i="4"/>
  <c r="H784" i="4"/>
  <c r="I784" i="4"/>
  <c r="J784" i="4"/>
  <c r="K784" i="4"/>
  <c r="B785" i="4"/>
  <c r="C785" i="4"/>
  <c r="D785" i="4"/>
  <c r="E785" i="4"/>
  <c r="F785" i="4"/>
  <c r="G785" i="4"/>
  <c r="H785" i="4"/>
  <c r="I785" i="4"/>
  <c r="J785" i="4"/>
  <c r="K785" i="4"/>
  <c r="B786" i="4"/>
  <c r="C786" i="4"/>
  <c r="D786" i="4"/>
  <c r="E786" i="4"/>
  <c r="F786" i="4"/>
  <c r="G786" i="4"/>
  <c r="H786" i="4"/>
  <c r="I786" i="4"/>
  <c r="J786" i="4"/>
  <c r="K786" i="4"/>
  <c r="B787" i="4"/>
  <c r="C787" i="4"/>
  <c r="D787" i="4"/>
  <c r="E787" i="4"/>
  <c r="F787" i="4"/>
  <c r="G787" i="4"/>
  <c r="H787" i="4"/>
  <c r="I787" i="4"/>
  <c r="J787" i="4"/>
  <c r="K787" i="4"/>
  <c r="B788" i="4"/>
  <c r="C788" i="4"/>
  <c r="D788" i="4"/>
  <c r="E788" i="4"/>
  <c r="F788" i="4"/>
  <c r="G788" i="4"/>
  <c r="H788" i="4"/>
  <c r="I788" i="4"/>
  <c r="J788" i="4"/>
  <c r="K788" i="4"/>
  <c r="B789" i="4"/>
  <c r="C789" i="4"/>
  <c r="D789" i="4"/>
  <c r="E789" i="4"/>
  <c r="F789" i="4"/>
  <c r="G789" i="4"/>
  <c r="H789" i="4"/>
  <c r="I789" i="4"/>
  <c r="J789" i="4"/>
  <c r="K789" i="4"/>
  <c r="B790" i="4"/>
  <c r="C790" i="4"/>
  <c r="D790" i="4"/>
  <c r="E790" i="4"/>
  <c r="F790" i="4"/>
  <c r="G790" i="4"/>
  <c r="H790" i="4"/>
  <c r="I790" i="4"/>
  <c r="J790" i="4"/>
  <c r="K790" i="4"/>
  <c r="B791" i="4"/>
  <c r="C791" i="4"/>
  <c r="D791" i="4"/>
  <c r="E791" i="4"/>
  <c r="F791" i="4"/>
  <c r="G791" i="4"/>
  <c r="H791" i="4"/>
  <c r="I791" i="4"/>
  <c r="J791" i="4"/>
  <c r="K791" i="4"/>
  <c r="B792" i="4"/>
  <c r="C792" i="4"/>
  <c r="D792" i="4"/>
  <c r="E792" i="4"/>
  <c r="F792" i="4"/>
  <c r="G792" i="4"/>
  <c r="H792" i="4"/>
  <c r="I792" i="4"/>
  <c r="J792" i="4"/>
  <c r="K792" i="4"/>
  <c r="B793" i="4"/>
  <c r="C793" i="4"/>
  <c r="D793" i="4"/>
  <c r="E793" i="4"/>
  <c r="F793" i="4"/>
  <c r="G793" i="4"/>
  <c r="H793" i="4"/>
  <c r="I793" i="4"/>
  <c r="J793" i="4"/>
  <c r="K793" i="4"/>
  <c r="B794" i="4"/>
  <c r="C794" i="4"/>
  <c r="D794" i="4"/>
  <c r="E794" i="4"/>
  <c r="F794" i="4"/>
  <c r="G794" i="4"/>
  <c r="H794" i="4"/>
  <c r="I794" i="4"/>
  <c r="J794" i="4"/>
  <c r="K794" i="4"/>
  <c r="B795" i="4"/>
  <c r="C795" i="4"/>
  <c r="D795" i="4"/>
  <c r="E795" i="4"/>
  <c r="F795" i="4"/>
  <c r="G795" i="4"/>
  <c r="H795" i="4"/>
  <c r="I795" i="4"/>
  <c r="J795" i="4"/>
  <c r="K795" i="4"/>
  <c r="B796" i="4"/>
  <c r="C796" i="4"/>
  <c r="D796" i="4"/>
  <c r="E796" i="4"/>
  <c r="F796" i="4"/>
  <c r="G796" i="4"/>
  <c r="H796" i="4"/>
  <c r="I796" i="4"/>
  <c r="J796" i="4"/>
  <c r="K796" i="4"/>
  <c r="B797" i="4"/>
  <c r="C797" i="4"/>
  <c r="D797" i="4"/>
  <c r="E797" i="4"/>
  <c r="F797" i="4"/>
  <c r="G797" i="4"/>
  <c r="H797" i="4"/>
  <c r="I797" i="4"/>
  <c r="J797" i="4"/>
  <c r="K797" i="4"/>
  <c r="B798" i="4"/>
  <c r="C798" i="4"/>
  <c r="D798" i="4"/>
  <c r="E798" i="4"/>
  <c r="F798" i="4"/>
  <c r="G798" i="4"/>
  <c r="H798" i="4"/>
  <c r="I798" i="4"/>
  <c r="J798" i="4"/>
  <c r="K798" i="4"/>
  <c r="B799" i="4"/>
  <c r="C799" i="4"/>
  <c r="D799" i="4"/>
  <c r="E799" i="4"/>
  <c r="F799" i="4"/>
  <c r="G799" i="4"/>
  <c r="H799" i="4"/>
  <c r="I799" i="4"/>
  <c r="J799" i="4"/>
  <c r="K799" i="4"/>
  <c r="B800" i="4"/>
  <c r="C800" i="4"/>
  <c r="D800" i="4"/>
  <c r="E800" i="4"/>
  <c r="F800" i="4"/>
  <c r="G800" i="4"/>
  <c r="H800" i="4"/>
  <c r="I800" i="4"/>
  <c r="J800" i="4"/>
  <c r="K800" i="4"/>
  <c r="B801" i="4"/>
  <c r="C801" i="4"/>
  <c r="D801" i="4"/>
  <c r="E801" i="4"/>
  <c r="F801" i="4"/>
  <c r="G801" i="4"/>
  <c r="H801" i="4"/>
  <c r="I801" i="4"/>
  <c r="J801" i="4"/>
  <c r="K801" i="4"/>
  <c r="B802" i="4"/>
  <c r="C802" i="4"/>
  <c r="D802" i="4"/>
  <c r="E802" i="4"/>
  <c r="F802" i="4"/>
  <c r="G802" i="4"/>
  <c r="H802" i="4"/>
  <c r="I802" i="4"/>
  <c r="J802" i="4"/>
  <c r="K802" i="4"/>
  <c r="B803" i="4"/>
  <c r="C803" i="4"/>
  <c r="D803" i="4"/>
  <c r="E803" i="4"/>
  <c r="F803" i="4"/>
  <c r="G803" i="4"/>
  <c r="H803" i="4"/>
  <c r="I803" i="4"/>
  <c r="J803" i="4"/>
  <c r="K803" i="4"/>
  <c r="B804" i="4"/>
  <c r="C804" i="4"/>
  <c r="D804" i="4"/>
  <c r="E804" i="4"/>
  <c r="F804" i="4"/>
  <c r="G804" i="4"/>
  <c r="H804" i="4"/>
  <c r="I804" i="4"/>
  <c r="J804" i="4"/>
  <c r="K804" i="4"/>
  <c r="B805" i="4"/>
  <c r="C805" i="4"/>
  <c r="D805" i="4"/>
  <c r="E805" i="4"/>
  <c r="F805" i="4"/>
  <c r="G805" i="4"/>
  <c r="H805" i="4"/>
  <c r="I805" i="4"/>
  <c r="J805" i="4"/>
  <c r="K805" i="4"/>
  <c r="B806" i="4"/>
  <c r="C806" i="4"/>
  <c r="D806" i="4"/>
  <c r="E806" i="4"/>
  <c r="F806" i="4"/>
  <c r="G806" i="4"/>
  <c r="H806" i="4"/>
  <c r="I806" i="4"/>
  <c r="J806" i="4"/>
  <c r="K806" i="4"/>
  <c r="B807" i="4"/>
  <c r="C807" i="4"/>
  <c r="D807" i="4"/>
  <c r="E807" i="4"/>
  <c r="F807" i="4"/>
  <c r="G807" i="4"/>
  <c r="H807" i="4"/>
  <c r="I807" i="4"/>
  <c r="J807" i="4"/>
  <c r="K807" i="4"/>
  <c r="B808" i="4"/>
  <c r="C808" i="4"/>
  <c r="D808" i="4"/>
  <c r="E808" i="4"/>
  <c r="F808" i="4"/>
  <c r="G808" i="4"/>
  <c r="H808" i="4"/>
  <c r="I808" i="4"/>
  <c r="J808" i="4"/>
  <c r="K808" i="4"/>
  <c r="B809" i="4"/>
  <c r="C809" i="4"/>
  <c r="D809" i="4"/>
  <c r="E809" i="4"/>
  <c r="F809" i="4"/>
  <c r="G809" i="4"/>
  <c r="H809" i="4"/>
  <c r="I809" i="4"/>
  <c r="J809" i="4"/>
  <c r="K809" i="4"/>
  <c r="B810" i="4"/>
  <c r="C810" i="4"/>
  <c r="D810" i="4"/>
  <c r="E810" i="4"/>
  <c r="F810" i="4"/>
  <c r="G810" i="4"/>
  <c r="H810" i="4"/>
  <c r="I810" i="4"/>
  <c r="J810" i="4"/>
  <c r="K810" i="4"/>
  <c r="B811" i="4"/>
  <c r="C811" i="4"/>
  <c r="D811" i="4"/>
  <c r="E811" i="4"/>
  <c r="F811" i="4"/>
  <c r="G811" i="4"/>
  <c r="H811" i="4"/>
  <c r="I811" i="4"/>
  <c r="J811" i="4"/>
  <c r="K811" i="4"/>
  <c r="B812" i="4"/>
  <c r="C812" i="4"/>
  <c r="D812" i="4"/>
  <c r="E812" i="4"/>
  <c r="F812" i="4"/>
  <c r="G812" i="4"/>
  <c r="H812" i="4"/>
  <c r="I812" i="4"/>
  <c r="J812" i="4"/>
  <c r="K812" i="4"/>
  <c r="B813" i="4"/>
  <c r="C813" i="4"/>
  <c r="D813" i="4"/>
  <c r="E813" i="4"/>
  <c r="F813" i="4"/>
  <c r="G813" i="4"/>
  <c r="H813" i="4"/>
  <c r="I813" i="4"/>
  <c r="J813" i="4"/>
  <c r="K813" i="4"/>
  <c r="B814" i="4"/>
  <c r="C814" i="4"/>
  <c r="D814" i="4"/>
  <c r="E814" i="4"/>
  <c r="F814" i="4"/>
  <c r="G814" i="4"/>
  <c r="H814" i="4"/>
  <c r="I814" i="4"/>
  <c r="J814" i="4"/>
  <c r="K814" i="4"/>
  <c r="B815" i="4"/>
  <c r="C815" i="4"/>
  <c r="D815" i="4"/>
  <c r="E815" i="4"/>
  <c r="F815" i="4"/>
  <c r="G815" i="4"/>
  <c r="H815" i="4"/>
  <c r="I815" i="4"/>
  <c r="J815" i="4"/>
  <c r="K815" i="4"/>
  <c r="B816" i="4"/>
  <c r="C816" i="4"/>
  <c r="D816" i="4"/>
  <c r="E816" i="4"/>
  <c r="F816" i="4"/>
  <c r="G816" i="4"/>
  <c r="H816" i="4"/>
  <c r="I816" i="4"/>
  <c r="J816" i="4"/>
  <c r="K816" i="4"/>
  <c r="B817" i="4"/>
  <c r="C817" i="4"/>
  <c r="D817" i="4"/>
  <c r="E817" i="4"/>
  <c r="F817" i="4"/>
  <c r="G817" i="4"/>
  <c r="H817" i="4"/>
  <c r="I817" i="4"/>
  <c r="J817" i="4"/>
  <c r="K817" i="4"/>
  <c r="B818" i="4"/>
  <c r="C818" i="4"/>
  <c r="D818" i="4"/>
  <c r="E818" i="4"/>
  <c r="F818" i="4"/>
  <c r="G818" i="4"/>
  <c r="H818" i="4"/>
  <c r="I818" i="4"/>
  <c r="J818" i="4"/>
  <c r="K818" i="4"/>
  <c r="B819" i="4"/>
  <c r="C819" i="4"/>
  <c r="D819" i="4"/>
  <c r="E819" i="4"/>
  <c r="F819" i="4"/>
  <c r="G819" i="4"/>
  <c r="H819" i="4"/>
  <c r="I819" i="4"/>
  <c r="J819" i="4"/>
  <c r="K819" i="4"/>
  <c r="B820" i="4"/>
  <c r="C820" i="4"/>
  <c r="D820" i="4"/>
  <c r="E820" i="4"/>
  <c r="F820" i="4"/>
  <c r="G820" i="4"/>
  <c r="H820" i="4"/>
  <c r="I820" i="4"/>
  <c r="J820" i="4"/>
  <c r="K820" i="4"/>
  <c r="B821" i="4"/>
  <c r="C821" i="4"/>
  <c r="D821" i="4"/>
  <c r="E821" i="4"/>
  <c r="F821" i="4"/>
  <c r="G821" i="4"/>
  <c r="H821" i="4"/>
  <c r="I821" i="4"/>
  <c r="J821" i="4"/>
  <c r="K821" i="4"/>
  <c r="B822" i="4"/>
  <c r="C822" i="4"/>
  <c r="D822" i="4"/>
  <c r="E822" i="4"/>
  <c r="F822" i="4"/>
  <c r="G822" i="4"/>
  <c r="H822" i="4"/>
  <c r="I822" i="4"/>
  <c r="J822" i="4"/>
  <c r="K822" i="4"/>
  <c r="B823" i="4"/>
  <c r="C823" i="4"/>
  <c r="D823" i="4"/>
  <c r="E823" i="4"/>
  <c r="F823" i="4"/>
  <c r="G823" i="4"/>
  <c r="H823" i="4"/>
  <c r="I823" i="4"/>
  <c r="J823" i="4"/>
  <c r="K823" i="4"/>
  <c r="B824" i="4"/>
  <c r="C824" i="4"/>
  <c r="D824" i="4"/>
  <c r="E824" i="4"/>
  <c r="F824" i="4"/>
  <c r="G824" i="4"/>
  <c r="H824" i="4"/>
  <c r="I824" i="4"/>
  <c r="J824" i="4"/>
  <c r="K824" i="4"/>
  <c r="B825" i="4"/>
  <c r="C825" i="4"/>
  <c r="D825" i="4"/>
  <c r="E825" i="4"/>
  <c r="F825" i="4"/>
  <c r="G825" i="4"/>
  <c r="H825" i="4"/>
  <c r="I825" i="4"/>
  <c r="J825" i="4"/>
  <c r="K825" i="4"/>
  <c r="B826" i="4"/>
  <c r="C826" i="4"/>
  <c r="D826" i="4"/>
  <c r="E826" i="4"/>
  <c r="F826" i="4"/>
  <c r="G826" i="4"/>
  <c r="H826" i="4"/>
  <c r="I826" i="4"/>
  <c r="J826" i="4"/>
  <c r="K826" i="4"/>
  <c r="B827" i="4"/>
  <c r="C827" i="4"/>
  <c r="D827" i="4"/>
  <c r="E827" i="4"/>
  <c r="F827" i="4"/>
  <c r="G827" i="4"/>
  <c r="H827" i="4"/>
  <c r="I827" i="4"/>
  <c r="J827" i="4"/>
  <c r="K827" i="4"/>
  <c r="B828" i="4"/>
  <c r="C828" i="4"/>
  <c r="D828" i="4"/>
  <c r="E828" i="4"/>
  <c r="F828" i="4"/>
  <c r="G828" i="4"/>
  <c r="H828" i="4"/>
  <c r="I828" i="4"/>
  <c r="J828" i="4"/>
  <c r="K828" i="4"/>
  <c r="B829" i="4"/>
  <c r="C829" i="4"/>
  <c r="D829" i="4"/>
  <c r="E829" i="4"/>
  <c r="F829" i="4"/>
  <c r="G829" i="4"/>
  <c r="H829" i="4"/>
  <c r="I829" i="4"/>
  <c r="J829" i="4"/>
  <c r="K829" i="4"/>
  <c r="B830" i="4"/>
  <c r="C830" i="4"/>
  <c r="D830" i="4"/>
  <c r="E830" i="4"/>
  <c r="F830" i="4"/>
  <c r="G830" i="4"/>
  <c r="H830" i="4"/>
  <c r="I830" i="4"/>
  <c r="J830" i="4"/>
  <c r="K830" i="4"/>
  <c r="B831" i="4"/>
  <c r="C831" i="4"/>
  <c r="D831" i="4"/>
  <c r="E831" i="4"/>
  <c r="F831" i="4"/>
  <c r="G831" i="4"/>
  <c r="H831" i="4"/>
  <c r="I831" i="4"/>
  <c r="J831" i="4"/>
  <c r="K831" i="4"/>
  <c r="B832" i="4"/>
  <c r="C832" i="4"/>
  <c r="D832" i="4"/>
  <c r="E832" i="4"/>
  <c r="F832" i="4"/>
  <c r="G832" i="4"/>
  <c r="H832" i="4"/>
  <c r="I832" i="4"/>
  <c r="J832" i="4"/>
  <c r="K832" i="4"/>
  <c r="B833" i="4"/>
  <c r="C833" i="4"/>
  <c r="D833" i="4"/>
  <c r="E833" i="4"/>
  <c r="F833" i="4"/>
  <c r="G833" i="4"/>
  <c r="H833" i="4"/>
  <c r="I833" i="4"/>
  <c r="J833" i="4"/>
  <c r="K833" i="4"/>
  <c r="B834" i="4"/>
  <c r="C834" i="4"/>
  <c r="D834" i="4"/>
  <c r="E834" i="4"/>
  <c r="F834" i="4"/>
  <c r="G834" i="4"/>
  <c r="H834" i="4"/>
  <c r="I834" i="4"/>
  <c r="J834" i="4"/>
  <c r="K834" i="4"/>
  <c r="B835" i="4"/>
  <c r="C835" i="4"/>
  <c r="D835" i="4"/>
  <c r="E835" i="4"/>
  <c r="F835" i="4"/>
  <c r="G835" i="4"/>
  <c r="H835" i="4"/>
  <c r="I835" i="4"/>
  <c r="J835" i="4"/>
  <c r="K835" i="4"/>
  <c r="B836" i="4"/>
  <c r="C836" i="4"/>
  <c r="D836" i="4"/>
  <c r="E836" i="4"/>
  <c r="F836" i="4"/>
  <c r="G836" i="4"/>
  <c r="H836" i="4"/>
  <c r="I836" i="4"/>
  <c r="J836" i="4"/>
  <c r="K836" i="4"/>
  <c r="B837" i="4"/>
  <c r="C837" i="4"/>
  <c r="D837" i="4"/>
  <c r="E837" i="4"/>
  <c r="F837" i="4"/>
  <c r="G837" i="4"/>
  <c r="H837" i="4"/>
  <c r="I837" i="4"/>
  <c r="J837" i="4"/>
  <c r="K837" i="4"/>
  <c r="B838" i="4"/>
  <c r="C838" i="4"/>
  <c r="D838" i="4"/>
  <c r="E838" i="4"/>
  <c r="F838" i="4"/>
  <c r="G838" i="4"/>
  <c r="H838" i="4"/>
  <c r="I838" i="4"/>
  <c r="J838" i="4"/>
  <c r="K838" i="4"/>
  <c r="B839" i="4"/>
  <c r="C839" i="4"/>
  <c r="D839" i="4"/>
  <c r="E839" i="4"/>
  <c r="F839" i="4"/>
  <c r="G839" i="4"/>
  <c r="H839" i="4"/>
  <c r="I839" i="4"/>
  <c r="J839" i="4"/>
  <c r="K839" i="4"/>
  <c r="B840" i="4"/>
  <c r="C840" i="4"/>
  <c r="D840" i="4"/>
  <c r="E840" i="4"/>
  <c r="F840" i="4"/>
  <c r="G840" i="4"/>
  <c r="H840" i="4"/>
  <c r="I840" i="4"/>
  <c r="J840" i="4"/>
  <c r="K840" i="4"/>
  <c r="B841" i="4"/>
  <c r="C841" i="4"/>
  <c r="D841" i="4"/>
  <c r="E841" i="4"/>
  <c r="F841" i="4"/>
  <c r="G841" i="4"/>
  <c r="H841" i="4"/>
  <c r="I841" i="4"/>
  <c r="J841" i="4"/>
  <c r="K841" i="4"/>
  <c r="B842" i="4"/>
  <c r="C842" i="4"/>
  <c r="D842" i="4"/>
  <c r="E842" i="4"/>
  <c r="F842" i="4"/>
  <c r="G842" i="4"/>
  <c r="H842" i="4"/>
  <c r="I842" i="4"/>
  <c r="J842" i="4"/>
  <c r="K842" i="4"/>
  <c r="B843" i="4"/>
  <c r="C843" i="4"/>
  <c r="D843" i="4"/>
  <c r="E843" i="4"/>
  <c r="F843" i="4"/>
  <c r="G843" i="4"/>
  <c r="H843" i="4"/>
  <c r="I843" i="4"/>
  <c r="J843" i="4"/>
  <c r="K843" i="4"/>
  <c r="B844" i="4"/>
  <c r="C844" i="4"/>
  <c r="D844" i="4"/>
  <c r="E844" i="4"/>
  <c r="F844" i="4"/>
  <c r="G844" i="4"/>
  <c r="H844" i="4"/>
  <c r="I844" i="4"/>
  <c r="J844" i="4"/>
  <c r="K844" i="4"/>
  <c r="B845" i="4"/>
  <c r="C845" i="4"/>
  <c r="D845" i="4"/>
  <c r="E845" i="4"/>
  <c r="F845" i="4"/>
  <c r="G845" i="4"/>
  <c r="H845" i="4"/>
  <c r="I845" i="4"/>
  <c r="J845" i="4"/>
  <c r="K845" i="4"/>
  <c r="B846" i="4"/>
  <c r="C846" i="4"/>
  <c r="D846" i="4"/>
  <c r="E846" i="4"/>
  <c r="F846" i="4"/>
  <c r="G846" i="4"/>
  <c r="H846" i="4"/>
  <c r="I846" i="4"/>
  <c r="J846" i="4"/>
  <c r="K846" i="4"/>
  <c r="B847" i="4"/>
  <c r="C847" i="4"/>
  <c r="D847" i="4"/>
  <c r="E847" i="4"/>
  <c r="F847" i="4"/>
  <c r="G847" i="4"/>
  <c r="H847" i="4"/>
  <c r="I847" i="4"/>
  <c r="J847" i="4"/>
  <c r="K847" i="4"/>
  <c r="B848" i="4"/>
  <c r="C848" i="4"/>
  <c r="D848" i="4"/>
  <c r="E848" i="4"/>
  <c r="F848" i="4"/>
  <c r="G848" i="4"/>
  <c r="H848" i="4"/>
  <c r="I848" i="4"/>
  <c r="J848" i="4"/>
  <c r="K848" i="4"/>
  <c r="B849" i="4"/>
  <c r="C849" i="4"/>
  <c r="D849" i="4"/>
  <c r="E849" i="4"/>
  <c r="F849" i="4"/>
  <c r="G849" i="4"/>
  <c r="H849" i="4"/>
  <c r="I849" i="4"/>
  <c r="J849" i="4"/>
  <c r="K849" i="4"/>
  <c r="B850" i="4"/>
  <c r="C850" i="4"/>
  <c r="D850" i="4"/>
  <c r="E850" i="4"/>
  <c r="F850" i="4"/>
  <c r="G850" i="4"/>
  <c r="H850" i="4"/>
  <c r="I850" i="4"/>
  <c r="J850" i="4"/>
  <c r="K850" i="4"/>
  <c r="B851" i="4"/>
  <c r="C851" i="4"/>
  <c r="D851" i="4"/>
  <c r="E851" i="4"/>
  <c r="F851" i="4"/>
  <c r="G851" i="4"/>
  <c r="H851" i="4"/>
  <c r="I851" i="4"/>
  <c r="J851" i="4"/>
  <c r="K851" i="4"/>
  <c r="B852" i="4"/>
  <c r="C852" i="4"/>
  <c r="D852" i="4"/>
  <c r="E852" i="4"/>
  <c r="F852" i="4"/>
  <c r="G852" i="4"/>
  <c r="H852" i="4"/>
  <c r="I852" i="4"/>
  <c r="J852" i="4"/>
  <c r="K852" i="4"/>
  <c r="B853" i="4"/>
  <c r="C853" i="4"/>
  <c r="D853" i="4"/>
  <c r="E853" i="4"/>
  <c r="F853" i="4"/>
  <c r="G853" i="4"/>
  <c r="H853" i="4"/>
  <c r="I853" i="4"/>
  <c r="J853" i="4"/>
  <c r="K853" i="4"/>
  <c r="B854" i="4"/>
  <c r="C854" i="4"/>
  <c r="D854" i="4"/>
  <c r="E854" i="4"/>
  <c r="F854" i="4"/>
  <c r="G854" i="4"/>
  <c r="H854" i="4"/>
  <c r="I854" i="4"/>
  <c r="J854" i="4"/>
  <c r="K854" i="4"/>
  <c r="B855" i="4"/>
  <c r="C855" i="4"/>
  <c r="D855" i="4"/>
  <c r="E855" i="4"/>
  <c r="F855" i="4"/>
  <c r="G855" i="4"/>
  <c r="H855" i="4"/>
  <c r="I855" i="4"/>
  <c r="J855" i="4"/>
  <c r="K855" i="4"/>
  <c r="B856" i="4"/>
  <c r="C856" i="4"/>
  <c r="D856" i="4"/>
  <c r="E856" i="4"/>
  <c r="F856" i="4"/>
  <c r="G856" i="4"/>
  <c r="H856" i="4"/>
  <c r="I856" i="4"/>
  <c r="J856" i="4"/>
  <c r="K856" i="4"/>
  <c r="B857" i="4"/>
  <c r="C857" i="4"/>
  <c r="D857" i="4"/>
  <c r="E857" i="4"/>
  <c r="F857" i="4"/>
  <c r="G857" i="4"/>
  <c r="H857" i="4"/>
  <c r="I857" i="4"/>
  <c r="J857" i="4"/>
  <c r="K857" i="4"/>
  <c r="B858" i="4"/>
  <c r="C858" i="4"/>
  <c r="D858" i="4"/>
  <c r="E858" i="4"/>
  <c r="F858" i="4"/>
  <c r="G858" i="4"/>
  <c r="H858" i="4"/>
  <c r="I858" i="4"/>
  <c r="J858" i="4"/>
  <c r="K858" i="4"/>
  <c r="B859" i="4"/>
  <c r="C859" i="4"/>
  <c r="D859" i="4"/>
  <c r="E859" i="4"/>
  <c r="F859" i="4"/>
  <c r="G859" i="4"/>
  <c r="H859" i="4"/>
  <c r="I859" i="4"/>
  <c r="J859" i="4"/>
  <c r="K859" i="4"/>
  <c r="B860" i="4"/>
  <c r="C860" i="4"/>
  <c r="D860" i="4"/>
  <c r="E860" i="4"/>
  <c r="F860" i="4"/>
  <c r="G860" i="4"/>
  <c r="H860" i="4"/>
  <c r="I860" i="4"/>
  <c r="J860" i="4"/>
  <c r="K860" i="4"/>
  <c r="B861" i="4"/>
  <c r="C861" i="4"/>
  <c r="D861" i="4"/>
  <c r="E861" i="4"/>
  <c r="F861" i="4"/>
  <c r="G861" i="4"/>
  <c r="H861" i="4"/>
  <c r="I861" i="4"/>
  <c r="J861" i="4"/>
  <c r="K861" i="4"/>
  <c r="B862" i="4"/>
  <c r="C862" i="4"/>
  <c r="D862" i="4"/>
  <c r="E862" i="4"/>
  <c r="F862" i="4"/>
  <c r="G862" i="4"/>
  <c r="H862" i="4"/>
  <c r="I862" i="4"/>
  <c r="J862" i="4"/>
  <c r="K862" i="4"/>
  <c r="B863" i="4"/>
  <c r="C863" i="4"/>
  <c r="D863" i="4"/>
  <c r="E863" i="4"/>
  <c r="F863" i="4"/>
  <c r="G863" i="4"/>
  <c r="H863" i="4"/>
  <c r="I863" i="4"/>
  <c r="J863" i="4"/>
  <c r="K863" i="4"/>
  <c r="B864" i="4"/>
  <c r="C864" i="4"/>
  <c r="D864" i="4"/>
  <c r="E864" i="4"/>
  <c r="F864" i="4"/>
  <c r="G864" i="4"/>
  <c r="H864" i="4"/>
  <c r="I864" i="4"/>
  <c r="J864" i="4"/>
  <c r="K864" i="4"/>
  <c r="B865" i="4"/>
  <c r="C865" i="4"/>
  <c r="D865" i="4"/>
  <c r="E865" i="4"/>
  <c r="F865" i="4"/>
  <c r="G865" i="4"/>
  <c r="H865" i="4"/>
  <c r="I865" i="4"/>
  <c r="J865" i="4"/>
  <c r="K865" i="4"/>
  <c r="B866" i="4"/>
  <c r="C866" i="4"/>
  <c r="D866" i="4"/>
  <c r="E866" i="4"/>
  <c r="F866" i="4"/>
  <c r="G866" i="4"/>
  <c r="H866" i="4"/>
  <c r="I866" i="4"/>
  <c r="J866" i="4"/>
  <c r="K866" i="4"/>
  <c r="B867" i="4"/>
  <c r="C867" i="4"/>
  <c r="D867" i="4"/>
  <c r="E867" i="4"/>
  <c r="F867" i="4"/>
  <c r="G867" i="4"/>
  <c r="H867" i="4"/>
  <c r="I867" i="4"/>
  <c r="J867" i="4"/>
  <c r="K867" i="4"/>
  <c r="B868" i="4"/>
  <c r="C868" i="4"/>
  <c r="D868" i="4"/>
  <c r="E868" i="4"/>
  <c r="F868" i="4"/>
  <c r="G868" i="4"/>
  <c r="H868" i="4"/>
  <c r="I868" i="4"/>
  <c r="J868" i="4"/>
  <c r="K868" i="4"/>
  <c r="B869" i="4"/>
  <c r="C869" i="4"/>
  <c r="D869" i="4"/>
  <c r="E869" i="4"/>
  <c r="F869" i="4"/>
  <c r="G869" i="4"/>
  <c r="H869" i="4"/>
  <c r="I869" i="4"/>
  <c r="J869" i="4"/>
  <c r="K869" i="4"/>
  <c r="B870" i="4"/>
  <c r="C870" i="4"/>
  <c r="D870" i="4"/>
  <c r="E870" i="4"/>
  <c r="F870" i="4"/>
  <c r="G870" i="4"/>
  <c r="H870" i="4"/>
  <c r="I870" i="4"/>
  <c r="J870" i="4"/>
  <c r="K870" i="4"/>
  <c r="B871" i="4"/>
  <c r="C871" i="4"/>
  <c r="D871" i="4"/>
  <c r="E871" i="4"/>
  <c r="F871" i="4"/>
  <c r="G871" i="4"/>
  <c r="H871" i="4"/>
  <c r="I871" i="4"/>
  <c r="J871" i="4"/>
  <c r="K871" i="4"/>
  <c r="B872" i="4"/>
  <c r="C872" i="4"/>
  <c r="D872" i="4"/>
  <c r="E872" i="4"/>
  <c r="F872" i="4"/>
  <c r="G872" i="4"/>
  <c r="H872" i="4"/>
  <c r="I872" i="4"/>
  <c r="J872" i="4"/>
  <c r="K872" i="4"/>
  <c r="B873" i="4"/>
  <c r="C873" i="4"/>
  <c r="D873" i="4"/>
  <c r="E873" i="4"/>
  <c r="F873" i="4"/>
  <c r="G873" i="4"/>
  <c r="H873" i="4"/>
  <c r="I873" i="4"/>
  <c r="J873" i="4"/>
  <c r="K873" i="4"/>
  <c r="B874" i="4"/>
  <c r="C874" i="4"/>
  <c r="D874" i="4"/>
  <c r="E874" i="4"/>
  <c r="F874" i="4"/>
  <c r="G874" i="4"/>
  <c r="H874" i="4"/>
  <c r="I874" i="4"/>
  <c r="J874" i="4"/>
  <c r="K874" i="4"/>
  <c r="B875" i="4"/>
  <c r="C875" i="4"/>
  <c r="D875" i="4"/>
  <c r="E875" i="4"/>
  <c r="F875" i="4"/>
  <c r="G875" i="4"/>
  <c r="H875" i="4"/>
  <c r="I875" i="4"/>
  <c r="J875" i="4"/>
  <c r="K875" i="4"/>
  <c r="B876" i="4"/>
  <c r="C876" i="4"/>
  <c r="D876" i="4"/>
  <c r="E876" i="4"/>
  <c r="F876" i="4"/>
  <c r="G876" i="4"/>
  <c r="H876" i="4"/>
  <c r="I876" i="4"/>
  <c r="J876" i="4"/>
  <c r="K876" i="4"/>
  <c r="B877" i="4"/>
  <c r="C877" i="4"/>
  <c r="D877" i="4"/>
  <c r="E877" i="4"/>
  <c r="F877" i="4"/>
  <c r="G877" i="4"/>
  <c r="H877" i="4"/>
  <c r="I877" i="4"/>
  <c r="J877" i="4"/>
  <c r="K877" i="4"/>
  <c r="B878" i="4"/>
  <c r="C878" i="4"/>
  <c r="D878" i="4"/>
  <c r="E878" i="4"/>
  <c r="F878" i="4"/>
  <c r="G878" i="4"/>
  <c r="H878" i="4"/>
  <c r="I878" i="4"/>
  <c r="J878" i="4"/>
  <c r="K878" i="4"/>
  <c r="B879" i="4"/>
  <c r="C879" i="4"/>
  <c r="D879" i="4"/>
  <c r="E879" i="4"/>
  <c r="F879" i="4"/>
  <c r="G879" i="4"/>
  <c r="H879" i="4"/>
  <c r="I879" i="4"/>
  <c r="J879" i="4"/>
  <c r="K879" i="4"/>
  <c r="B880" i="4"/>
  <c r="C880" i="4"/>
  <c r="D880" i="4"/>
  <c r="E880" i="4"/>
  <c r="F880" i="4"/>
  <c r="G880" i="4"/>
  <c r="H880" i="4"/>
  <c r="I880" i="4"/>
  <c r="J880" i="4"/>
  <c r="K880" i="4"/>
  <c r="B881" i="4"/>
  <c r="C881" i="4"/>
  <c r="D881" i="4"/>
  <c r="E881" i="4"/>
  <c r="F881" i="4"/>
  <c r="G881" i="4"/>
  <c r="H881" i="4"/>
  <c r="I881" i="4"/>
  <c r="J881" i="4"/>
  <c r="K881" i="4"/>
  <c r="B882" i="4"/>
  <c r="C882" i="4"/>
  <c r="D882" i="4"/>
  <c r="E882" i="4"/>
  <c r="F882" i="4"/>
  <c r="G882" i="4"/>
  <c r="H882" i="4"/>
  <c r="I882" i="4"/>
  <c r="J882" i="4"/>
  <c r="K882" i="4"/>
  <c r="B883" i="4"/>
  <c r="C883" i="4"/>
  <c r="D883" i="4"/>
  <c r="E883" i="4"/>
  <c r="F883" i="4"/>
  <c r="G883" i="4"/>
  <c r="H883" i="4"/>
  <c r="I883" i="4"/>
  <c r="J883" i="4"/>
  <c r="K883" i="4"/>
  <c r="B884" i="4"/>
  <c r="C884" i="4"/>
  <c r="D884" i="4"/>
  <c r="E884" i="4"/>
  <c r="F884" i="4"/>
  <c r="G884" i="4"/>
  <c r="H884" i="4"/>
  <c r="I884" i="4"/>
  <c r="J884" i="4"/>
  <c r="K884" i="4"/>
  <c r="B885" i="4"/>
  <c r="C885" i="4"/>
  <c r="D885" i="4"/>
  <c r="E885" i="4"/>
  <c r="F885" i="4"/>
  <c r="G885" i="4"/>
  <c r="H885" i="4"/>
  <c r="I885" i="4"/>
  <c r="J885" i="4"/>
  <c r="K885" i="4"/>
  <c r="B886" i="4"/>
  <c r="C886" i="4"/>
  <c r="D886" i="4"/>
  <c r="E886" i="4"/>
  <c r="F886" i="4"/>
  <c r="G886" i="4"/>
  <c r="H886" i="4"/>
  <c r="I886" i="4"/>
  <c r="J886" i="4"/>
  <c r="K886" i="4"/>
  <c r="B887" i="4"/>
  <c r="C887" i="4"/>
  <c r="D887" i="4"/>
  <c r="E887" i="4"/>
  <c r="F887" i="4"/>
  <c r="G887" i="4"/>
  <c r="H887" i="4"/>
  <c r="I887" i="4"/>
  <c r="J887" i="4"/>
  <c r="K887" i="4"/>
  <c r="B888" i="4"/>
  <c r="C888" i="4"/>
  <c r="D888" i="4"/>
  <c r="E888" i="4"/>
  <c r="F888" i="4"/>
  <c r="G888" i="4"/>
  <c r="H888" i="4"/>
  <c r="I888" i="4"/>
  <c r="J888" i="4"/>
  <c r="K888" i="4"/>
  <c r="B889" i="4"/>
  <c r="C889" i="4"/>
  <c r="D889" i="4"/>
  <c r="E889" i="4"/>
  <c r="F889" i="4"/>
  <c r="G889" i="4"/>
  <c r="H889" i="4"/>
  <c r="I889" i="4"/>
  <c r="J889" i="4"/>
  <c r="K889" i="4"/>
  <c r="B890" i="4"/>
  <c r="C890" i="4"/>
  <c r="D890" i="4"/>
  <c r="E890" i="4"/>
  <c r="F890" i="4"/>
  <c r="G890" i="4"/>
  <c r="H890" i="4"/>
  <c r="I890" i="4"/>
  <c r="J890" i="4"/>
  <c r="K890" i="4"/>
  <c r="B891" i="4"/>
  <c r="C891" i="4"/>
  <c r="D891" i="4"/>
  <c r="E891" i="4"/>
  <c r="F891" i="4"/>
  <c r="G891" i="4"/>
  <c r="H891" i="4"/>
  <c r="I891" i="4"/>
  <c r="J891" i="4"/>
  <c r="K891" i="4"/>
  <c r="B892" i="4"/>
  <c r="C892" i="4"/>
  <c r="D892" i="4"/>
  <c r="E892" i="4"/>
  <c r="F892" i="4"/>
  <c r="G892" i="4"/>
  <c r="H892" i="4"/>
  <c r="I892" i="4"/>
  <c r="J892" i="4"/>
  <c r="K892" i="4"/>
  <c r="B893" i="4"/>
  <c r="C893" i="4"/>
  <c r="D893" i="4"/>
  <c r="E893" i="4"/>
  <c r="F893" i="4"/>
  <c r="G893" i="4"/>
  <c r="H893" i="4"/>
  <c r="I893" i="4"/>
  <c r="J893" i="4"/>
  <c r="K893" i="4"/>
  <c r="B894" i="4"/>
  <c r="C894" i="4"/>
  <c r="D894" i="4"/>
  <c r="E894" i="4"/>
  <c r="F894" i="4"/>
  <c r="G894" i="4"/>
  <c r="H894" i="4"/>
  <c r="I894" i="4"/>
  <c r="J894" i="4"/>
  <c r="K894" i="4"/>
  <c r="B895" i="4"/>
  <c r="C895" i="4"/>
  <c r="D895" i="4"/>
  <c r="E895" i="4"/>
  <c r="F895" i="4"/>
  <c r="G895" i="4"/>
  <c r="H895" i="4"/>
  <c r="I895" i="4"/>
  <c r="J895" i="4"/>
  <c r="K895" i="4"/>
  <c r="B896" i="4"/>
  <c r="C896" i="4"/>
  <c r="D896" i="4"/>
  <c r="E896" i="4"/>
  <c r="F896" i="4"/>
  <c r="G896" i="4"/>
  <c r="H896" i="4"/>
  <c r="I896" i="4"/>
  <c r="J896" i="4"/>
  <c r="K896" i="4"/>
  <c r="B897" i="4"/>
  <c r="C897" i="4"/>
  <c r="D897" i="4"/>
  <c r="E897" i="4"/>
  <c r="F897" i="4"/>
  <c r="G897" i="4"/>
  <c r="H897" i="4"/>
  <c r="I897" i="4"/>
  <c r="J897" i="4"/>
  <c r="K897" i="4"/>
  <c r="B898" i="4"/>
  <c r="C898" i="4"/>
  <c r="D898" i="4"/>
  <c r="E898" i="4"/>
  <c r="F898" i="4"/>
  <c r="G898" i="4"/>
  <c r="H898" i="4"/>
  <c r="I898" i="4"/>
  <c r="J898" i="4"/>
  <c r="K898" i="4"/>
  <c r="B899" i="4"/>
  <c r="C899" i="4"/>
  <c r="D899" i="4"/>
  <c r="E899" i="4"/>
  <c r="F899" i="4"/>
  <c r="G899" i="4"/>
  <c r="H899" i="4"/>
  <c r="I899" i="4"/>
  <c r="J899" i="4"/>
  <c r="K899" i="4"/>
  <c r="B900" i="4"/>
  <c r="C900" i="4"/>
  <c r="D900" i="4"/>
  <c r="E900" i="4"/>
  <c r="F900" i="4"/>
  <c r="G900" i="4"/>
  <c r="H900" i="4"/>
  <c r="I900" i="4"/>
  <c r="J900" i="4"/>
  <c r="K900" i="4"/>
  <c r="B901" i="4"/>
  <c r="C901" i="4"/>
  <c r="D901" i="4"/>
  <c r="E901" i="4"/>
  <c r="F901" i="4"/>
  <c r="G901" i="4"/>
  <c r="H901" i="4"/>
  <c r="I901" i="4"/>
  <c r="J901" i="4"/>
  <c r="K901" i="4"/>
  <c r="B902" i="4"/>
  <c r="C902" i="4"/>
  <c r="D902" i="4"/>
  <c r="E902" i="4"/>
  <c r="F902" i="4"/>
  <c r="G902" i="4"/>
  <c r="H902" i="4"/>
  <c r="I902" i="4"/>
  <c r="J902" i="4"/>
  <c r="K902" i="4"/>
  <c r="B903" i="4"/>
  <c r="C903" i="4"/>
  <c r="D903" i="4"/>
  <c r="E903" i="4"/>
  <c r="F903" i="4"/>
  <c r="G903" i="4"/>
  <c r="H903" i="4"/>
  <c r="I903" i="4"/>
  <c r="J903" i="4"/>
  <c r="K903" i="4"/>
  <c r="B904" i="4"/>
  <c r="C904" i="4"/>
  <c r="D904" i="4"/>
  <c r="E904" i="4"/>
  <c r="F904" i="4"/>
  <c r="G904" i="4"/>
  <c r="H904" i="4"/>
  <c r="I904" i="4"/>
  <c r="J904" i="4"/>
  <c r="K904" i="4"/>
  <c r="B905" i="4"/>
  <c r="C905" i="4"/>
  <c r="D905" i="4"/>
  <c r="E905" i="4"/>
  <c r="F905" i="4"/>
  <c r="G905" i="4"/>
  <c r="H905" i="4"/>
  <c r="I905" i="4"/>
  <c r="J905" i="4"/>
  <c r="K905" i="4"/>
  <c r="B906" i="4"/>
  <c r="C906" i="4"/>
  <c r="D906" i="4"/>
  <c r="E906" i="4"/>
  <c r="F906" i="4"/>
  <c r="G906" i="4"/>
  <c r="H906" i="4"/>
  <c r="I906" i="4"/>
  <c r="J906" i="4"/>
  <c r="K906" i="4"/>
  <c r="B907" i="4"/>
  <c r="C907" i="4"/>
  <c r="D907" i="4"/>
  <c r="E907" i="4"/>
  <c r="F907" i="4"/>
  <c r="G907" i="4"/>
  <c r="H907" i="4"/>
  <c r="I907" i="4"/>
  <c r="J907" i="4"/>
  <c r="K907" i="4"/>
  <c r="B908" i="4"/>
  <c r="C908" i="4"/>
  <c r="D908" i="4"/>
  <c r="E908" i="4"/>
  <c r="F908" i="4"/>
  <c r="G908" i="4"/>
  <c r="H908" i="4"/>
  <c r="I908" i="4"/>
  <c r="J908" i="4"/>
  <c r="K908" i="4"/>
  <c r="B909" i="4"/>
  <c r="C909" i="4"/>
  <c r="D909" i="4"/>
  <c r="E909" i="4"/>
  <c r="F909" i="4"/>
  <c r="G909" i="4"/>
  <c r="H909" i="4"/>
  <c r="I909" i="4"/>
  <c r="J909" i="4"/>
  <c r="K909" i="4"/>
  <c r="B910" i="4"/>
  <c r="C910" i="4"/>
  <c r="D910" i="4"/>
  <c r="E910" i="4"/>
  <c r="F910" i="4"/>
  <c r="G910" i="4"/>
  <c r="H910" i="4"/>
  <c r="I910" i="4"/>
  <c r="J910" i="4"/>
  <c r="K910" i="4"/>
  <c r="B911" i="4"/>
  <c r="C911" i="4"/>
  <c r="D911" i="4"/>
  <c r="E911" i="4"/>
  <c r="F911" i="4"/>
  <c r="G911" i="4"/>
  <c r="H911" i="4"/>
  <c r="I911" i="4"/>
  <c r="J911" i="4"/>
  <c r="K911" i="4"/>
  <c r="B912" i="4"/>
  <c r="C912" i="4"/>
  <c r="D912" i="4"/>
  <c r="E912" i="4"/>
  <c r="F912" i="4"/>
  <c r="G912" i="4"/>
  <c r="H912" i="4"/>
  <c r="I912" i="4"/>
  <c r="J912" i="4"/>
  <c r="K912" i="4"/>
  <c r="B913" i="4"/>
  <c r="C913" i="4"/>
  <c r="D913" i="4"/>
  <c r="E913" i="4"/>
  <c r="F913" i="4"/>
  <c r="G913" i="4"/>
  <c r="H913" i="4"/>
  <c r="I913" i="4"/>
  <c r="J913" i="4"/>
  <c r="K913" i="4"/>
  <c r="I11" i="3" l="1"/>
  <c r="C9" i="3" l="1"/>
  <c r="F9" i="3" l="1"/>
  <c r="I13" i="3" l="1"/>
  <c r="I9" i="3"/>
  <c r="C4" i="3"/>
  <c r="C3" i="3"/>
  <c r="B2" i="3"/>
</calcChain>
</file>

<file path=xl/sharedStrings.xml><?xml version="1.0" encoding="utf-8"?>
<sst xmlns="http://schemas.openxmlformats.org/spreadsheetml/2006/main" count="122" uniqueCount="68">
  <si>
    <t>N°</t>
  </si>
  <si>
    <t>CURSO</t>
  </si>
  <si>
    <t>MONTO</t>
  </si>
  <si>
    <t>FECHA</t>
  </si>
  <si>
    <t>PRIMARIO</t>
  </si>
  <si>
    <t>SECUNDARIO</t>
  </si>
  <si>
    <t>C</t>
  </si>
  <si>
    <t>D</t>
  </si>
  <si>
    <t>E</t>
  </si>
  <si>
    <t>F</t>
  </si>
  <si>
    <t>G</t>
  </si>
  <si>
    <t>H</t>
  </si>
  <si>
    <t>UNIDAD EDUCATIVA:</t>
  </si>
  <si>
    <t>DIRECCIÓN:</t>
  </si>
  <si>
    <t>CLASES DE COMPUTACIÓN</t>
  </si>
  <si>
    <t xml:space="preserve">DISTRITO EDUCATIVO: </t>
  </si>
  <si>
    <t xml:space="preserve">DEPARTAMENTO: </t>
  </si>
  <si>
    <t>TELEFONO - CELULAR:</t>
  </si>
  <si>
    <t>POR CONCEPTO DE:</t>
  </si>
  <si>
    <t>LA SUMA DE:</t>
  </si>
  <si>
    <t xml:space="preserve">N° </t>
  </si>
  <si>
    <t>R  E  C  I  B   O</t>
  </si>
  <si>
    <t>BOLIVIANOS</t>
  </si>
  <si>
    <t>ENTREGUE CONFORME</t>
  </si>
  <si>
    <t>RECIBI CONFORME</t>
  </si>
  <si>
    <t>FECHA:</t>
  </si>
  <si>
    <t>CONCEPTO DE PAGO N° 1</t>
  </si>
  <si>
    <t>CONCEPTO DE PAGO N° 2</t>
  </si>
  <si>
    <t>REGISTRO_B.DATOS</t>
  </si>
  <si>
    <t>INICIAL</t>
  </si>
  <si>
    <t>CODIGO SIE:</t>
  </si>
  <si>
    <t>CONCEPTOS DE RECAUDACIONES</t>
  </si>
  <si>
    <t>OTROS</t>
  </si>
  <si>
    <t>TOTAL RECAUDADO (Bs.)</t>
  </si>
  <si>
    <t>CANTIDAD DE ESTUDIANTES QUE CANCELARON</t>
  </si>
  <si>
    <t>ESTUDIANTES QUE NO CANCELARON</t>
  </si>
  <si>
    <t>CANTIDAD TOTAL DE ESTUDIANTES DE LA UE.</t>
  </si>
  <si>
    <t>PRIMERO</t>
  </si>
  <si>
    <t>27 DE MAYO</t>
  </si>
  <si>
    <t>SANTA CRUZ</t>
  </si>
  <si>
    <t>PAILON</t>
  </si>
  <si>
    <t>BARRIO 27 DE MAYO</t>
  </si>
  <si>
    <t>NOMBRE DEL PADRE O MADRE</t>
  </si>
  <si>
    <t>CONCEPTO DE PAGO</t>
  </si>
  <si>
    <t>Nº</t>
  </si>
  <si>
    <t>NOMBRE DEL ESTUDIANTE</t>
  </si>
  <si>
    <t>1º</t>
  </si>
  <si>
    <t>2º</t>
  </si>
  <si>
    <t>3º</t>
  </si>
  <si>
    <t xml:space="preserve"> NOMBRE DEL PADRE/MADRE O APODERADO:</t>
  </si>
  <si>
    <t>NOMBRE DEL ESTUDIANTE Y CURSO</t>
  </si>
  <si>
    <t>4º</t>
  </si>
  <si>
    <t>6º</t>
  </si>
  <si>
    <t>5º</t>
  </si>
  <si>
    <t>NONBRE Y CURSO DEL           1º HIJO</t>
  </si>
  <si>
    <t>NONBRE Y CURSO DEL           2º HIJO</t>
  </si>
  <si>
    <t>NONBRE Y CURSO DEL            3º HIJO</t>
  </si>
  <si>
    <t>NONBRE Y CURSO DEL           4º HIJO</t>
  </si>
  <si>
    <t>NONBRE Y CURSO DEL           5º HIJO</t>
  </si>
  <si>
    <t>NONBRE Y CURSO DEL           6º HIJO</t>
  </si>
  <si>
    <t>GABI PEREZ ATOYAY</t>
  </si>
  <si>
    <t>FATIMA ORTIZ                          CURSO: 1R0 B</t>
  </si>
  <si>
    <t>ERNESTO ORTIZ              CURSO: 2DO B</t>
  </si>
  <si>
    <t>MENSUALIDAD</t>
  </si>
  <si>
    <t>27/06/2019</t>
  </si>
  <si>
    <t>28/3/2022</t>
  </si>
  <si>
    <t>00000</t>
  </si>
  <si>
    <t>MUESTRA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</si>
</sst>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"/>
  </numFmts>
  <fonts count="3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9"/>
      <color rgb="FF00206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8"/>
      <color theme="8" tint="-0.249977111117893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i/>
      <sz val="8"/>
      <color rgb="FF002060"/>
      <name val="Calibri"/>
      <family val="2"/>
      <scheme val="minor"/>
    </font>
    <font>
      <i/>
      <sz val="10"/>
      <color theme="8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</fills>
  <borders count="54">
    <border>
      <left/>
      <right/>
      <top/>
      <bottom/>
      <diagonal/>
    </border>
    <border>
      <left/>
      <right/>
      <top style="hair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dashed">
        <color indexed="64"/>
      </top>
      <bottom style="medium">
        <color theme="0"/>
      </bottom>
      <diagonal/>
    </border>
    <border>
      <left style="dashed">
        <color indexed="64"/>
      </left>
      <right style="medium">
        <color theme="0"/>
      </right>
      <top style="medium">
        <color theme="0"/>
      </top>
      <bottom style="dashed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dashed">
        <color indexed="64"/>
      </bottom>
      <diagonal/>
    </border>
    <border>
      <left style="medium">
        <color theme="0"/>
      </left>
      <right style="dashed">
        <color indexed="64"/>
      </right>
      <top style="medium">
        <color theme="0"/>
      </top>
      <bottom style="dashed">
        <color indexed="64"/>
      </bottom>
      <diagonal/>
    </border>
    <border>
      <left style="medium">
        <color theme="0"/>
      </left>
      <right style="medium">
        <color theme="0"/>
      </right>
      <top style="dash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dashed">
        <color indexed="64"/>
      </right>
      <top style="dashed">
        <color indexed="64"/>
      </top>
      <bottom/>
      <diagonal/>
    </border>
    <border>
      <left style="medium">
        <color theme="0"/>
      </left>
      <right style="dashed">
        <color indexed="64"/>
      </right>
      <top/>
      <bottom/>
      <diagonal/>
    </border>
    <border>
      <left style="medium">
        <color theme="0"/>
      </left>
      <right style="dashed">
        <color indexed="64"/>
      </right>
      <top/>
      <bottom style="medium">
        <color theme="0"/>
      </bottom>
      <diagonal/>
    </border>
    <border>
      <left style="dashed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ashed">
        <color indexed="64"/>
      </left>
      <right style="medium">
        <color theme="0"/>
      </right>
      <top style="dashed">
        <color indexed="64"/>
      </top>
      <bottom style="medium">
        <color theme="0"/>
      </bottom>
      <diagonal/>
    </border>
    <border>
      <left style="medium">
        <color theme="0"/>
      </left>
      <right style="dashed">
        <color indexed="64"/>
      </right>
      <top style="dashed">
        <color indexed="64"/>
      </top>
      <bottom style="medium">
        <color theme="0"/>
      </bottom>
      <diagonal/>
    </border>
    <border>
      <left style="medium">
        <color theme="0"/>
      </left>
      <right style="dashed">
        <color indexed="64"/>
      </right>
      <top style="medium">
        <color theme="0"/>
      </top>
      <bottom style="medium">
        <color theme="0"/>
      </bottom>
      <diagonal/>
    </border>
    <border>
      <left/>
      <right/>
      <top/>
      <bottom style="dashed">
        <color rgb="FF0070C0"/>
      </bottom>
      <diagonal/>
    </border>
    <border>
      <left style="thin">
        <color theme="8" tint="-0.249977111117893"/>
      </left>
      <right/>
      <top style="thin">
        <color theme="8" tint="-0.249977111117893"/>
      </top>
      <bottom/>
      <diagonal/>
    </border>
    <border>
      <left/>
      <right/>
      <top style="thin">
        <color theme="8" tint="-0.249977111117893"/>
      </top>
      <bottom/>
      <diagonal/>
    </border>
    <border>
      <left/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thin">
        <color theme="8" tint="-0.249977111117893"/>
      </left>
      <right/>
      <top/>
      <bottom style="thin">
        <color theme="8" tint="-0.249977111117893"/>
      </bottom>
      <diagonal/>
    </border>
    <border>
      <left/>
      <right/>
      <top/>
      <bottom style="thin">
        <color theme="8" tint="-0.249977111117893"/>
      </bottom>
      <diagonal/>
    </border>
    <border>
      <left/>
      <right style="thin">
        <color theme="8" tint="-0.249977111117893"/>
      </right>
      <top/>
      <bottom style="thin">
        <color theme="8" tint="-0.249977111117893"/>
      </bottom>
      <diagonal/>
    </border>
    <border>
      <left style="medium">
        <color theme="0"/>
      </left>
      <right/>
      <top style="dashed">
        <color indexed="64"/>
      </top>
      <bottom style="medium">
        <color theme="0"/>
      </bottom>
      <diagonal/>
    </border>
    <border>
      <left/>
      <right style="medium">
        <color theme="0"/>
      </right>
      <top style="dashed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theme="4" tint="-0.249977111117893"/>
      </left>
      <right style="dashed">
        <color theme="4" tint="-0.249977111117893"/>
      </right>
      <top style="dashed">
        <color theme="4" tint="-0.249977111117893"/>
      </top>
      <bottom style="dashed">
        <color theme="4" tint="-0.249977111117893"/>
      </bottom>
      <diagonal/>
    </border>
    <border>
      <left style="dashed">
        <color theme="4" tint="-0.249977111117893"/>
      </left>
      <right/>
      <top style="dashed">
        <color theme="4" tint="-0.249977111117893"/>
      </top>
      <bottom style="dashed">
        <color theme="4" tint="-0.249977111117893"/>
      </bottom>
      <diagonal/>
    </border>
    <border>
      <left/>
      <right/>
      <top style="dashed">
        <color theme="4" tint="-0.249977111117893"/>
      </top>
      <bottom style="dashed">
        <color theme="4" tint="-0.249977111117893"/>
      </bottom>
      <diagonal/>
    </border>
    <border>
      <left/>
      <right style="dashed">
        <color theme="4" tint="-0.249977111117893"/>
      </right>
      <top style="dashed">
        <color theme="4" tint="-0.249977111117893"/>
      </top>
      <bottom style="dashed">
        <color theme="4" tint="-0.249977111117893"/>
      </bottom>
      <diagonal/>
    </border>
    <border>
      <left/>
      <right style="medium">
        <color theme="0"/>
      </right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indexed="64"/>
      </bottom>
      <diagonal/>
    </border>
    <border>
      <left style="mediumDashed">
        <color auto="1"/>
      </left>
      <right style="mediumDashed">
        <color auto="1"/>
      </right>
      <top style="dashed">
        <color indexed="64"/>
      </top>
      <bottom style="dashed">
        <color indexed="64"/>
      </bottom>
      <diagonal/>
    </border>
    <border>
      <left/>
      <right style="mediumDashed">
        <color auto="1"/>
      </right>
      <top style="dashed">
        <color indexed="64"/>
      </top>
      <bottom style="dashed">
        <color indexed="64"/>
      </bottom>
      <diagonal/>
    </border>
    <border>
      <left style="mediumDashed">
        <color auto="1"/>
      </left>
      <right/>
      <top style="dashed">
        <color indexed="64"/>
      </top>
      <bottom style="dashed">
        <color indexed="64"/>
      </bottom>
      <diagonal/>
    </border>
    <border>
      <left/>
      <right style="mediumDashed">
        <color auto="1"/>
      </right>
      <top/>
      <bottom style="dashed">
        <color indexed="64"/>
      </bottom>
      <diagonal/>
    </border>
    <border>
      <left style="mediumDashed">
        <color auto="1"/>
      </left>
      <right style="mediumDashed">
        <color auto="1"/>
      </right>
      <top/>
      <bottom style="dashed">
        <color indexed="64"/>
      </bottom>
      <diagonal/>
    </border>
    <border>
      <left style="mediumDashed">
        <color auto="1"/>
      </left>
      <right/>
      <top/>
      <bottom style="dashed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right" vertical="center"/>
    </xf>
    <xf numFmtId="0" fontId="0" fillId="0" borderId="1" xfId="0" applyBorder="1"/>
    <xf numFmtId="0" fontId="0" fillId="0" borderId="0" xfId="0" applyAlignment="1"/>
    <xf numFmtId="0" fontId="1" fillId="0" borderId="0" xfId="0" applyFont="1" applyBorder="1"/>
    <xf numFmtId="0" fontId="0" fillId="2" borderId="0" xfId="0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0" fillId="0" borderId="4" xfId="0" applyNumberFormat="1" applyBorder="1" applyAlignment="1" applyProtection="1">
      <alignment horizontal="center" vertical="center"/>
    </xf>
    <xf numFmtId="0" fontId="18" fillId="0" borderId="0" xfId="0" applyFont="1" applyBorder="1"/>
    <xf numFmtId="0" fontId="14" fillId="0" borderId="0" xfId="0" applyFont="1"/>
    <xf numFmtId="0" fontId="18" fillId="0" borderId="0" xfId="0" applyFont="1"/>
    <xf numFmtId="0" fontId="14" fillId="0" borderId="0" xfId="0" applyFont="1" applyBorder="1"/>
    <xf numFmtId="0" fontId="15" fillId="0" borderId="0" xfId="0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4" fillId="0" borderId="29" xfId="0" applyFon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4" fillId="0" borderId="28" xfId="0" applyFont="1" applyBorder="1"/>
    <xf numFmtId="164" fontId="0" fillId="0" borderId="0" xfId="0" applyNumberFormat="1" applyAlignment="1" applyProtection="1">
      <alignment horizontal="center"/>
      <protection locked="0"/>
    </xf>
    <xf numFmtId="164" fontId="0" fillId="0" borderId="3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20" fillId="0" borderId="41" xfId="0" applyFont="1" applyBorder="1" applyAlignment="1">
      <alignment horizontal="center" vertical="center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0" fontId="2" fillId="3" borderId="10" xfId="0" applyFont="1" applyFill="1" applyBorder="1" applyAlignment="1" applyProtection="1">
      <alignment horizontal="center" vertical="center"/>
    </xf>
    <xf numFmtId="0" fontId="1" fillId="3" borderId="33" xfId="0" applyFont="1" applyFill="1" applyBorder="1" applyAlignment="1" applyProtection="1">
      <alignment horizontal="center" vertical="center"/>
      <protection locked="0"/>
    </xf>
    <xf numFmtId="0" fontId="1" fillId="8" borderId="34" xfId="0" applyFont="1" applyFill="1" applyBorder="1" applyAlignment="1" applyProtection="1">
      <alignment horizontal="center" vertical="center"/>
      <protection locked="0"/>
    </xf>
    <xf numFmtId="0" fontId="2" fillId="3" borderId="8" xfId="0" applyFont="1" applyFill="1" applyBorder="1" applyAlignment="1" applyProtection="1">
      <alignment horizontal="center" vertical="center"/>
    </xf>
    <xf numFmtId="0" fontId="1" fillId="3" borderId="35" xfId="0" applyFont="1" applyFill="1" applyBorder="1" applyAlignment="1" applyProtection="1">
      <alignment horizontal="center" vertical="center"/>
      <protection locked="0"/>
    </xf>
    <xf numFmtId="0" fontId="1" fillId="8" borderId="36" xfId="0" applyFont="1" applyFill="1" applyBorder="1" applyAlignment="1" applyProtection="1">
      <alignment horizontal="center" vertical="center"/>
      <protection locked="0"/>
    </xf>
    <xf numFmtId="164" fontId="0" fillId="0" borderId="6" xfId="0" applyNumberFormat="1" applyBorder="1" applyAlignment="1" applyProtection="1">
      <alignment horizontal="center"/>
    </xf>
    <xf numFmtId="0" fontId="0" fillId="0" borderId="6" xfId="0" applyBorder="1" applyAlignment="1" applyProtection="1">
      <alignment horizontal="left"/>
    </xf>
    <xf numFmtId="0" fontId="0" fillId="0" borderId="6" xfId="0" applyBorder="1" applyAlignment="1" applyProtection="1">
      <alignment horizontal="left" vertical="center"/>
    </xf>
    <xf numFmtId="49" fontId="0" fillId="0" borderId="6" xfId="0" applyNumberFormat="1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left" vertical="center"/>
    </xf>
    <xf numFmtId="49" fontId="0" fillId="0" borderId="0" xfId="0" applyNumberFormat="1" applyAlignment="1" applyProtection="1">
      <alignment horizontal="center" vertical="center"/>
    </xf>
    <xf numFmtId="0" fontId="27" fillId="0" borderId="42" xfId="0" applyFont="1" applyBorder="1" applyAlignment="1">
      <alignment vertical="center"/>
    </xf>
    <xf numFmtId="0" fontId="27" fillId="0" borderId="43" xfId="0" applyFont="1" applyBorder="1" applyAlignment="1">
      <alignment vertical="center"/>
    </xf>
    <xf numFmtId="0" fontId="20" fillId="0" borderId="42" xfId="0" applyFont="1" applyBorder="1" applyAlignment="1">
      <alignment vertical="center"/>
    </xf>
    <xf numFmtId="0" fontId="20" fillId="0" borderId="43" xfId="0" applyFont="1" applyBorder="1" applyAlignment="1">
      <alignment vertical="center"/>
    </xf>
    <xf numFmtId="0" fontId="28" fillId="0" borderId="0" xfId="0" applyFont="1"/>
    <xf numFmtId="164" fontId="28" fillId="0" borderId="46" xfId="0" applyNumberFormat="1" applyFont="1" applyBorder="1" applyAlignment="1" applyProtection="1">
      <alignment horizontal="center"/>
      <protection locked="0"/>
    </xf>
    <xf numFmtId="0" fontId="28" fillId="0" borderId="46" xfId="0" applyFont="1" applyBorder="1" applyAlignment="1" applyProtection="1">
      <alignment horizontal="left"/>
      <protection locked="0"/>
    </xf>
    <xf numFmtId="0" fontId="28" fillId="0" borderId="46" xfId="0" applyFont="1" applyBorder="1" applyAlignment="1" applyProtection="1">
      <alignment horizontal="left" vertical="center"/>
      <protection locked="0"/>
    </xf>
    <xf numFmtId="49" fontId="28" fillId="0" borderId="46" xfId="0" applyNumberFormat="1" applyFont="1" applyBorder="1" applyAlignment="1" applyProtection="1">
      <alignment horizontal="center" vertical="center"/>
      <protection locked="0"/>
    </xf>
    <xf numFmtId="164" fontId="28" fillId="0" borderId="47" xfId="0" applyNumberFormat="1" applyFont="1" applyBorder="1" applyAlignment="1" applyProtection="1">
      <alignment horizontal="center"/>
      <protection locked="0"/>
    </xf>
    <xf numFmtId="0" fontId="28" fillId="0" borderId="47" xfId="0" applyFont="1" applyBorder="1" applyAlignment="1" applyProtection="1">
      <alignment horizontal="left"/>
      <protection locked="0"/>
    </xf>
    <xf numFmtId="0" fontId="28" fillId="0" borderId="47" xfId="0" applyFont="1" applyBorder="1" applyAlignment="1" applyProtection="1">
      <alignment horizontal="left" vertical="center"/>
      <protection locked="0"/>
    </xf>
    <xf numFmtId="49" fontId="28" fillId="0" borderId="47" xfId="0" applyNumberFormat="1" applyFont="1" applyBorder="1" applyAlignment="1" applyProtection="1">
      <alignment horizontal="center" vertical="center"/>
      <protection locked="0"/>
    </xf>
    <xf numFmtId="0" fontId="28" fillId="0" borderId="48" xfId="0" applyFont="1" applyBorder="1" applyAlignment="1" applyProtection="1">
      <alignment horizontal="left"/>
      <protection locked="0"/>
    </xf>
    <xf numFmtId="0" fontId="28" fillId="0" borderId="48" xfId="0" applyFont="1" applyBorder="1" applyAlignment="1" applyProtection="1">
      <alignment horizontal="left" vertical="center"/>
      <protection locked="0"/>
    </xf>
    <xf numFmtId="0" fontId="31" fillId="3" borderId="10" xfId="0" applyFont="1" applyFill="1" applyBorder="1" applyAlignment="1" applyProtection="1">
      <alignment horizontal="center" vertical="center"/>
    </xf>
    <xf numFmtId="0" fontId="30" fillId="3" borderId="33" xfId="0" applyFont="1" applyFill="1" applyBorder="1" applyAlignment="1" applyProtection="1">
      <alignment horizontal="center" vertical="center"/>
      <protection locked="0"/>
    </xf>
    <xf numFmtId="0" fontId="30" fillId="8" borderId="34" xfId="0" applyFont="1" applyFill="1" applyBorder="1" applyAlignment="1" applyProtection="1">
      <alignment horizontal="center" vertical="center"/>
      <protection locked="0"/>
    </xf>
    <xf numFmtId="0" fontId="31" fillId="3" borderId="8" xfId="0" applyFont="1" applyFill="1" applyBorder="1" applyAlignment="1" applyProtection="1">
      <alignment horizontal="center" vertical="center"/>
    </xf>
    <xf numFmtId="0" fontId="30" fillId="3" borderId="35" xfId="0" applyFont="1" applyFill="1" applyBorder="1" applyAlignment="1" applyProtection="1">
      <alignment horizontal="center" vertical="center"/>
      <protection locked="0"/>
    </xf>
    <xf numFmtId="0" fontId="30" fillId="8" borderId="36" xfId="0" applyFont="1" applyFill="1" applyBorder="1" applyAlignment="1" applyProtection="1">
      <alignment horizontal="center" vertical="center"/>
      <protection locked="0"/>
    </xf>
    <xf numFmtId="164" fontId="28" fillId="0" borderId="3" xfId="0" applyNumberFormat="1" applyFont="1" applyBorder="1" applyAlignment="1" applyProtection="1">
      <alignment horizontal="center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49" fontId="28" fillId="0" borderId="4" xfId="0" applyNumberFormat="1" applyFont="1" applyBorder="1" applyAlignment="1" applyProtection="1">
      <alignment horizontal="center" vertical="center"/>
    </xf>
    <xf numFmtId="164" fontId="31" fillId="4" borderId="11" xfId="0" applyNumberFormat="1" applyFont="1" applyFill="1" applyBorder="1" applyAlignment="1" applyProtection="1">
      <alignment horizontal="center" vertical="center" wrapText="1"/>
    </xf>
    <xf numFmtId="0" fontId="31" fillId="4" borderId="12" xfId="0" applyFont="1" applyFill="1" applyBorder="1" applyAlignment="1" applyProtection="1">
      <alignment horizontal="center" vertical="center" wrapText="1"/>
    </xf>
    <xf numFmtId="49" fontId="31" fillId="4" borderId="13" xfId="0" applyNumberFormat="1" applyFont="1" applyFill="1" applyBorder="1" applyAlignment="1" applyProtection="1">
      <alignment horizontal="center" vertical="center" wrapText="1"/>
    </xf>
    <xf numFmtId="164" fontId="28" fillId="0" borderId="6" xfId="0" applyNumberFormat="1" applyFont="1" applyBorder="1" applyAlignment="1" applyProtection="1">
      <alignment horizontal="center"/>
    </xf>
    <xf numFmtId="0" fontId="28" fillId="0" borderId="6" xfId="0" applyFont="1" applyBorder="1" applyAlignment="1" applyProtection="1">
      <alignment horizontal="left"/>
    </xf>
    <xf numFmtId="0" fontId="28" fillId="0" borderId="6" xfId="0" applyFont="1" applyBorder="1" applyAlignment="1" applyProtection="1">
      <alignment horizontal="left" vertical="center"/>
    </xf>
    <xf numFmtId="49" fontId="28" fillId="0" borderId="6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0" fontId="20" fillId="0" borderId="0" xfId="0" applyFont="1" applyBorder="1" applyAlignment="1">
      <alignment horizontal="right" vertical="center"/>
    </xf>
    <xf numFmtId="164" fontId="28" fillId="0" borderId="49" xfId="0" applyNumberFormat="1" applyFont="1" applyBorder="1" applyAlignment="1" applyProtection="1">
      <alignment horizontal="center"/>
      <protection locked="0"/>
    </xf>
    <xf numFmtId="49" fontId="28" fillId="0" borderId="50" xfId="0" applyNumberFormat="1" applyFont="1" applyBorder="1" applyAlignment="1" applyProtection="1">
      <alignment horizontal="center" vertical="center"/>
      <protection locked="0"/>
    </xf>
    <xf numFmtId="164" fontId="5" fillId="4" borderId="51" xfId="0" applyNumberFormat="1" applyFont="1" applyFill="1" applyBorder="1" applyAlignment="1" applyProtection="1">
      <alignment horizontal="center" vertical="center" wrapText="1"/>
    </xf>
    <xf numFmtId="0" fontId="5" fillId="4" borderId="52" xfId="0" applyFont="1" applyFill="1" applyBorder="1" applyAlignment="1" applyProtection="1">
      <alignment horizontal="center" vertical="center" wrapText="1"/>
    </xf>
    <xf numFmtId="49" fontId="5" fillId="4" borderId="53" xfId="0" applyNumberFormat="1" applyFont="1" applyFill="1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left"/>
      <protection locked="0"/>
    </xf>
    <xf numFmtId="0" fontId="0" fillId="0" borderId="47" xfId="0" applyBorder="1" applyAlignment="1" applyProtection="1">
      <alignment horizontal="left" vertical="center"/>
      <protection locked="0"/>
    </xf>
    <xf numFmtId="164" fontId="0" fillId="0" borderId="47" xfId="0" applyNumberFormat="1" applyBorder="1" applyAlignment="1" applyProtection="1">
      <alignment horizontal="center"/>
      <protection locked="0"/>
    </xf>
    <xf numFmtId="49" fontId="0" fillId="0" borderId="47" xfId="0" applyNumberFormat="1" applyBorder="1" applyAlignment="1" applyProtection="1">
      <alignment horizontal="center" vertical="center"/>
      <protection locked="0"/>
    </xf>
    <xf numFmtId="0" fontId="29" fillId="3" borderId="5" xfId="0" applyFont="1" applyFill="1" applyBorder="1" applyAlignment="1" applyProtection="1">
      <alignment horizontal="center" vertical="center"/>
    </xf>
    <xf numFmtId="0" fontId="29" fillId="3" borderId="2" xfId="0" applyFont="1" applyFill="1" applyBorder="1" applyAlignment="1" applyProtection="1">
      <alignment horizontal="center" vertical="center"/>
    </xf>
    <xf numFmtId="0" fontId="30" fillId="3" borderId="10" xfId="0" applyFont="1" applyFill="1" applyBorder="1" applyAlignment="1" applyProtection="1">
      <alignment horizontal="center" vertical="center"/>
    </xf>
    <xf numFmtId="0" fontId="28" fillId="3" borderId="14" xfId="0" applyFont="1" applyFill="1" applyBorder="1" applyAlignment="1" applyProtection="1">
      <alignment horizontal="center"/>
    </xf>
    <xf numFmtId="0" fontId="28" fillId="3" borderId="15" xfId="0" applyFont="1" applyFill="1" applyBorder="1" applyAlignment="1" applyProtection="1">
      <alignment horizontal="center"/>
    </xf>
    <xf numFmtId="0" fontId="28" fillId="3" borderId="16" xfId="0" applyFont="1" applyFill="1" applyBorder="1" applyAlignment="1" applyProtection="1">
      <alignment horizontal="center"/>
    </xf>
    <xf numFmtId="49" fontId="28" fillId="3" borderId="17" xfId="0" applyNumberFormat="1" applyFont="1" applyFill="1" applyBorder="1" applyAlignment="1" applyProtection="1">
      <alignment horizontal="center" vertical="center"/>
    </xf>
    <xf numFmtId="49" fontId="28" fillId="3" borderId="18" xfId="0" applyNumberFormat="1" applyFont="1" applyFill="1" applyBorder="1" applyAlignment="1" applyProtection="1">
      <alignment horizontal="center" vertical="center"/>
    </xf>
    <xf numFmtId="49" fontId="28" fillId="3" borderId="19" xfId="0" applyNumberFormat="1" applyFont="1" applyFill="1" applyBorder="1" applyAlignment="1" applyProtection="1">
      <alignment horizontal="center" vertical="center"/>
    </xf>
    <xf numFmtId="0" fontId="29" fillId="3" borderId="3" xfId="0" applyFont="1" applyFill="1" applyBorder="1" applyAlignment="1" applyProtection="1">
      <alignment horizontal="center" vertical="center"/>
    </xf>
    <xf numFmtId="0" fontId="29" fillId="3" borderId="45" xfId="0" applyFont="1" applyFill="1" applyBorder="1" applyAlignment="1" applyProtection="1">
      <alignment horizontal="center" vertical="center"/>
    </xf>
    <xf numFmtId="0" fontId="30" fillId="3" borderId="8" xfId="0" applyFont="1" applyFill="1" applyBorder="1" applyAlignment="1" applyProtection="1">
      <alignment horizontal="center" vertical="center"/>
    </xf>
    <xf numFmtId="0" fontId="29" fillId="3" borderId="0" xfId="0" applyFont="1" applyFill="1" applyBorder="1" applyAlignment="1" applyProtection="1">
      <alignment horizontal="center" vertical="center"/>
    </xf>
    <xf numFmtId="0" fontId="30" fillId="3" borderId="8" xfId="0" applyFont="1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/>
    </xf>
    <xf numFmtId="49" fontId="0" fillId="3" borderId="17" xfId="0" applyNumberFormat="1" applyFill="1" applyBorder="1" applyAlignment="1" applyProtection="1">
      <alignment horizontal="center" vertical="center"/>
    </xf>
    <xf numFmtId="49" fontId="0" fillId="3" borderId="18" xfId="0" applyNumberFormat="1" applyFill="1" applyBorder="1" applyAlignment="1" applyProtection="1">
      <alignment horizontal="center" vertical="center"/>
    </xf>
    <xf numFmtId="49" fontId="0" fillId="3" borderId="19" xfId="0" applyNumberForma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4" fillId="3" borderId="45" xfId="0" applyFont="1" applyFill="1" applyBorder="1" applyAlignment="1" applyProtection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7" fillId="0" borderId="6" xfId="0" applyFont="1" applyBorder="1" applyAlignment="1" applyProtection="1">
      <alignment horizontal="center" vertical="center"/>
      <protection locked="0"/>
    </xf>
    <xf numFmtId="0" fontId="6" fillId="6" borderId="6" xfId="0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7" borderId="8" xfId="0" applyFont="1" applyFill="1" applyBorder="1" applyAlignment="1" applyProtection="1">
      <alignment horizontal="center" vertical="center"/>
      <protection locked="0"/>
    </xf>
    <xf numFmtId="0" fontId="1" fillId="7" borderId="20" xfId="0" applyFont="1" applyFill="1" applyBorder="1" applyAlignment="1" applyProtection="1">
      <alignment horizontal="center" vertical="center"/>
      <protection locked="0"/>
    </xf>
    <xf numFmtId="0" fontId="10" fillId="3" borderId="21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20" fillId="0" borderId="0" xfId="0" applyFont="1" applyBorder="1" applyAlignment="1">
      <alignment horizontal="right" vertical="center"/>
    </xf>
    <xf numFmtId="0" fontId="11" fillId="0" borderId="24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left" vertical="center"/>
    </xf>
    <xf numFmtId="0" fontId="22" fillId="0" borderId="24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7" fillId="0" borderId="42" xfId="0" applyFont="1" applyBorder="1" applyAlignment="1">
      <alignment horizontal="left" vertical="center"/>
    </xf>
    <xf numFmtId="0" fontId="27" fillId="0" borderId="43" xfId="0" applyFont="1" applyBorder="1" applyAlignment="1">
      <alignment horizontal="left" vertical="center"/>
    </xf>
    <xf numFmtId="0" fontId="27" fillId="0" borderId="44" xfId="0" applyFont="1" applyBorder="1" applyAlignment="1">
      <alignment horizontal="left" vertical="center"/>
    </xf>
    <xf numFmtId="0" fontId="20" fillId="0" borderId="42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44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64" fontId="11" fillId="0" borderId="24" xfId="0" applyNumberFormat="1" applyFont="1" applyBorder="1" applyAlignment="1">
      <alignment horizontal="center"/>
    </xf>
    <xf numFmtId="164" fontId="11" fillId="0" borderId="0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</cellXfs>
  <cellStyles count="1">
    <cellStyle name="Normal" xfId="0" builtinId="0"/>
  </cellStyles>
  <dxfs count="2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Dashed">
          <color auto="1"/>
        </left>
        <right/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mediumDashed">
          <color auto="1"/>
        </left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  <alignment horizontal="center" vertical="bottom" textRotation="0" wrapText="0" indent="0" justifyLastLine="0" shrinkToFit="0" readingOrder="0"/>
      <border diagonalUp="0" diagonalDown="0">
        <left/>
        <right style="mediumDashed">
          <color auto="1"/>
        </right>
        <top style="dashed">
          <color indexed="64"/>
        </top>
        <bottom style="dashed">
          <color indexed="64"/>
        </bottom>
        <vertical/>
        <horizontal/>
      </border>
      <protection locked="0" hidden="0"/>
    </dxf>
    <dxf>
      <border outline="0">
        <top style="dashed">
          <color indexed="64"/>
        </top>
      </border>
    </dxf>
    <dxf>
      <border outline="0">
        <left style="dashed">
          <color indexed="64"/>
        </left>
        <right style="dashed">
          <color auto="1"/>
        </right>
        <top style="mediumDashed">
          <color theme="0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border outline="0">
        <bottom style="dashed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mediumDashed">
          <color auto="1"/>
        </left>
        <right style="mediumDashed">
          <color auto="1"/>
        </right>
        <top/>
        <bottom/>
      </border>
      <protection locked="1" hidden="0"/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ont>
        <color theme="0"/>
      </font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Y$2" max="30000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1903332</xdr:colOff>
      <xdr:row>1</xdr:row>
      <xdr:rowOff>50346</xdr:rowOff>
    </xdr:from>
    <xdr:to>
      <xdr:col>9</xdr:col>
      <xdr:colOff>119099</xdr:colOff>
      <xdr:row>4</xdr:row>
      <xdr:rowOff>13607</xdr:rowOff>
    </xdr:to>
    <xdr:pic macro="[0]!Abrirform">
      <xdr:nvPicPr>
        <xdr:cNvPr id="2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26" b="4211"/>
        <a:stretch>
          <a:fillRect/>
        </a:stretch>
      </xdr:blipFill>
      <xdr:spPr bwMode="auto">
        <a:xfrm>
          <a:off x="13619082" y="77560"/>
          <a:ext cx="1182124" cy="6980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244929</xdr:colOff>
      <xdr:row>1</xdr:row>
      <xdr:rowOff>19050</xdr:rowOff>
    </xdr:from>
    <xdr:to>
      <xdr:col>10</xdr:col>
      <xdr:colOff>765706</xdr:colOff>
      <xdr:row>3</xdr:row>
      <xdr:rowOff>215396</xdr:rowOff>
    </xdr:to>
    <xdr:pic macro="[0]!IMPRIMIR_BD">
      <xdr:nvPicPr>
        <xdr:cNvPr id="5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7036" y="46264"/>
          <a:ext cx="1037848" cy="686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1583166</xdr:colOff>
      <xdr:row>0</xdr:row>
      <xdr:rowOff>19050</xdr:rowOff>
    </xdr:from>
    <xdr:to>
      <xdr:col>8</xdr:col>
      <xdr:colOff>432064</xdr:colOff>
      <xdr:row>3</xdr:row>
      <xdr:rowOff>226218</xdr:rowOff>
    </xdr:to>
    <xdr:pic macro="[0]!Abrirform">
      <xdr:nvPicPr>
        <xdr:cNvPr id="1025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26" b="4211"/>
        <a:stretch>
          <a:fillRect/>
        </a:stretch>
      </xdr:blipFill>
      <xdr:spPr bwMode="auto">
        <a:xfrm>
          <a:off x="11620135" y="19050"/>
          <a:ext cx="1242054" cy="707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183220</xdr:colOff>
      <xdr:row>0</xdr:row>
      <xdr:rowOff>19051</xdr:rowOff>
    </xdr:from>
    <xdr:to>
      <xdr:col>10</xdr:col>
      <xdr:colOff>539485</xdr:colOff>
      <xdr:row>3</xdr:row>
      <xdr:rowOff>190500</xdr:rowOff>
    </xdr:to>
    <xdr:pic macro="[0]!IMPRIMIR_BD">
      <xdr:nvPicPr>
        <xdr:cNvPr id="102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1470" y="19051"/>
          <a:ext cx="1046828" cy="6715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69273</xdr:colOff>
      <xdr:row>2</xdr:row>
      <xdr:rowOff>190499</xdr:rowOff>
    </xdr:from>
    <xdr:to>
      <xdr:col>25</xdr:col>
      <xdr:colOff>1160319</xdr:colOff>
      <xdr:row>12</xdr:row>
      <xdr:rowOff>86590</xdr:rowOff>
    </xdr:to>
    <xdr:sp macro="" textlink="">
      <xdr:nvSpPr>
        <xdr:cNvPr id="2" name="Rectángulo redondeado 1"/>
        <xdr:cNvSpPr/>
      </xdr:nvSpPr>
      <xdr:spPr>
        <a:xfrm>
          <a:off x="6908223" y="428624"/>
          <a:ext cx="1091046" cy="1524866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BO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200025</xdr:colOff>
          <xdr:row>4</xdr:row>
          <xdr:rowOff>114300</xdr:rowOff>
        </xdr:from>
        <xdr:to>
          <xdr:col>25</xdr:col>
          <xdr:colOff>1047750</xdr:colOff>
          <xdr:row>10</xdr:row>
          <xdr:rowOff>28575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8</xdr:col>
      <xdr:colOff>142876</xdr:colOff>
      <xdr:row>36</xdr:row>
      <xdr:rowOff>47625</xdr:rowOff>
    </xdr:from>
    <xdr:to>
      <xdr:col>8</xdr:col>
      <xdr:colOff>599210</xdr:colOff>
      <xdr:row>40</xdr:row>
      <xdr:rowOff>3810</xdr:rowOff>
    </xdr:to>
    <xdr:pic>
      <xdr:nvPicPr>
        <xdr:cNvPr id="4" name="0 Imagen"/>
        <xdr:cNvPicPr/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164" r="7535"/>
        <a:stretch/>
      </xdr:blipFill>
      <xdr:spPr bwMode="auto">
        <a:xfrm>
          <a:off x="5048251" y="5715000"/>
          <a:ext cx="456334" cy="48006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8</xdr:col>
      <xdr:colOff>142876</xdr:colOff>
      <xdr:row>4</xdr:row>
      <xdr:rowOff>80269</xdr:rowOff>
    </xdr:from>
    <xdr:to>
      <xdr:col>8</xdr:col>
      <xdr:colOff>600076</xdr:colOff>
      <xdr:row>8</xdr:row>
      <xdr:rowOff>9265</xdr:rowOff>
    </xdr:to>
    <xdr:pic>
      <xdr:nvPicPr>
        <xdr:cNvPr id="5" name="0 Imagen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026603" y="703724"/>
          <a:ext cx="457200" cy="4572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2" name="DATOSBASE" displayName="DATOSBASE" ref="A6:K7" totalsRowShown="0" headerRowDxfId="19" dataDxfId="17" headerRowBorderDxfId="18" tableBorderDxfId="16" totalsRowBorderDxfId="15">
  <autoFilter ref="A6:K7"/>
  <tableColumns count="11">
    <tableColumn id="1" name="00000" dataDxfId="14"/>
    <tableColumn id="2" name="NOMBRE DEL PADRE O MADRE" dataDxfId="13"/>
    <tableColumn id="3" name="NONBRE Y CURSO DEL           1º HIJO" dataDxfId="12"/>
    <tableColumn id="4" name="NONBRE Y CURSO DEL           2º HIJO" dataDxfId="11"/>
    <tableColumn id="5" name="NONBRE Y CURSO DEL            3º HIJO" dataDxfId="10"/>
    <tableColumn id="6" name="NONBRE Y CURSO DEL           4º HIJO" dataDxfId="9"/>
    <tableColumn id="7" name="NONBRE Y CURSO DEL           5º HIJO" dataDxfId="8"/>
    <tableColumn id="8" name="NONBRE Y CURSO DEL           6º HIJO" dataDxfId="7"/>
    <tableColumn id="9" name="CONCEPTO DE PAGO" dataDxfId="6"/>
    <tableColumn id="10" name="MONTO" dataDxfId="5"/>
    <tableColumn id="11" name="FECHA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N916"/>
  <sheetViews>
    <sheetView topLeftCell="C1" zoomScale="80" zoomScaleNormal="80" workbookViewId="0">
      <pane ySplit="6" topLeftCell="A7" activePane="bottomLeft" state="frozen"/>
      <selection activeCell="Y2" sqref="Y2"/>
      <selection pane="bottomLeft" activeCell="C7" sqref="A7:XFD8"/>
    </sheetView>
  </sheetViews>
  <sheetFormatPr baseColWidth="10" defaultColWidth="0" defaultRowHeight="15" x14ac:dyDescent="0.25"/>
  <cols>
    <col min="1" max="1" width="7" style="27" customWidth="1"/>
    <col min="2" max="2" width="25.7109375" style="32" customWidth="1"/>
    <col min="3" max="4" width="28.7109375" style="32" customWidth="1"/>
    <col min="5" max="5" width="28.7109375" style="33" customWidth="1"/>
    <col min="6" max="8" width="28.7109375" style="32" customWidth="1"/>
    <col min="9" max="9" width="15.7109375" style="32" customWidth="1"/>
    <col min="10" max="10" width="7.7109375" style="32" customWidth="1"/>
    <col min="11" max="11" width="11.5703125" style="9" customWidth="1"/>
    <col min="12" max="12" width="1.85546875" customWidth="1"/>
    <col min="13" max="13" width="4.42578125" hidden="1" customWidth="1"/>
    <col min="14" max="14" width="5.7109375" customWidth="1"/>
    <col min="15" max="16384" width="11.42578125" hidden="1"/>
  </cols>
  <sheetData>
    <row r="1" spans="1:13" ht="2.25" customHeight="1" x14ac:dyDescent="0.25"/>
    <row r="2" spans="1:13" ht="18.75" customHeight="1" thickBot="1" x14ac:dyDescent="0.3">
      <c r="A2" s="92" t="s">
        <v>12</v>
      </c>
      <c r="B2" s="93"/>
      <c r="C2" s="94" t="s">
        <v>38</v>
      </c>
      <c r="D2" s="94"/>
      <c r="E2" s="94"/>
      <c r="F2" s="94"/>
      <c r="G2" s="63" t="s">
        <v>16</v>
      </c>
      <c r="H2" s="64" t="s">
        <v>39</v>
      </c>
      <c r="I2" s="65"/>
      <c r="J2" s="95"/>
      <c r="K2" s="98"/>
      <c r="M2" t="s">
        <v>5</v>
      </c>
    </row>
    <row r="3" spans="1:13" ht="18.75" customHeight="1" thickBot="1" x14ac:dyDescent="0.3">
      <c r="A3" s="101" t="s">
        <v>30</v>
      </c>
      <c r="B3" s="102"/>
      <c r="C3" s="103">
        <v>71940029</v>
      </c>
      <c r="D3" s="103"/>
      <c r="E3" s="103"/>
      <c r="F3" s="103"/>
      <c r="G3" s="66" t="s">
        <v>15</v>
      </c>
      <c r="H3" s="67" t="s">
        <v>40</v>
      </c>
      <c r="I3" s="68"/>
      <c r="J3" s="96"/>
      <c r="K3" s="99"/>
      <c r="M3" t="s">
        <v>4</v>
      </c>
    </row>
    <row r="4" spans="1:13" ht="18.75" customHeight="1" thickBot="1" x14ac:dyDescent="0.3">
      <c r="A4" s="101" t="s">
        <v>13</v>
      </c>
      <c r="B4" s="104"/>
      <c r="C4" s="105" t="s">
        <v>41</v>
      </c>
      <c r="D4" s="105"/>
      <c r="E4" s="105"/>
      <c r="F4" s="105"/>
      <c r="G4" s="66" t="s">
        <v>17</v>
      </c>
      <c r="H4" s="67">
        <v>77633299</v>
      </c>
      <c r="I4" s="68"/>
      <c r="J4" s="97"/>
      <c r="K4" s="100"/>
      <c r="M4" t="s">
        <v>29</v>
      </c>
    </row>
    <row r="5" spans="1:13" ht="2.25" customHeight="1" thickBot="1" x14ac:dyDescent="0.3">
      <c r="A5" s="69"/>
      <c r="B5" s="70"/>
      <c r="C5" s="71"/>
      <c r="D5" s="71"/>
      <c r="E5" s="72"/>
      <c r="F5" s="71"/>
      <c r="G5" s="71"/>
      <c r="H5" s="71"/>
      <c r="I5" s="71"/>
      <c r="J5" s="70"/>
      <c r="K5" s="73"/>
    </row>
    <row r="6" spans="1:13" ht="42.75" customHeight="1" x14ac:dyDescent="0.25">
      <c r="A6" s="74" t="s">
        <v>0</v>
      </c>
      <c r="B6" s="75" t="s">
        <v>42</v>
      </c>
      <c r="C6" s="75" t="s">
        <v>54</v>
      </c>
      <c r="D6" s="75" t="s">
        <v>55</v>
      </c>
      <c r="E6" s="75" t="s">
        <v>56</v>
      </c>
      <c r="F6" s="75" t="s">
        <v>57</v>
      </c>
      <c r="G6" s="75" t="s">
        <v>58</v>
      </c>
      <c r="H6" s="75" t="s">
        <v>59</v>
      </c>
      <c r="I6" s="75" t="s">
        <v>43</v>
      </c>
      <c r="J6" s="75" t="s">
        <v>2</v>
      </c>
      <c r="K6" s="76" t="s">
        <v>3</v>
      </c>
      <c r="M6" s="8" t="s">
        <v>37</v>
      </c>
    </row>
    <row r="7" spans="1:13" x14ac:dyDescent="0.25">
      <c r="A7" s="77">
        <f>REGISTRO_B.DATOS!A8</f>
        <v>0</v>
      </c>
      <c r="B7" s="78">
        <f>REGISTRO_B.DATOS!B8</f>
        <v>0</v>
      </c>
      <c r="C7" s="78">
        <f>REGISTRO_B.DATOS!C8</f>
        <v>0</v>
      </c>
      <c r="D7" s="78">
        <f>REGISTRO_B.DATOS!D8</f>
        <v>0</v>
      </c>
      <c r="E7" s="79">
        <f>REGISTRO_B.DATOS!E8</f>
        <v>0</v>
      </c>
      <c r="F7" s="78">
        <f>REGISTRO_B.DATOS!F8</f>
        <v>0</v>
      </c>
      <c r="G7" s="78">
        <f>REGISTRO_B.DATOS!G8</f>
        <v>0</v>
      </c>
      <c r="H7" s="78">
        <f>REGISTRO_B.DATOS!H8</f>
        <v>0</v>
      </c>
      <c r="I7" s="78">
        <f>REGISTRO_B.DATOS!I8</f>
        <v>0</v>
      </c>
      <c r="J7" s="78">
        <f>REGISTRO_B.DATOS!J8</f>
        <v>0</v>
      </c>
      <c r="K7" s="80">
        <f>REGISTRO_B.DATOS!K8</f>
        <v>0</v>
      </c>
    </row>
    <row r="8" spans="1:13" x14ac:dyDescent="0.25">
      <c r="A8" s="77">
        <f>REGISTRO_B.DATOS!A9</f>
        <v>0</v>
      </c>
      <c r="B8" s="78">
        <f>REGISTRO_B.DATOS!B9</f>
        <v>0</v>
      </c>
      <c r="C8" s="78">
        <f>REGISTRO_B.DATOS!C9</f>
        <v>0</v>
      </c>
      <c r="D8" s="78">
        <f>REGISTRO_B.DATOS!D9</f>
        <v>0</v>
      </c>
      <c r="E8" s="79">
        <f>REGISTRO_B.DATOS!E9</f>
        <v>0</v>
      </c>
      <c r="F8" s="78">
        <f>REGISTRO_B.DATOS!F9</f>
        <v>0</v>
      </c>
      <c r="G8" s="78">
        <f>REGISTRO_B.DATOS!G9</f>
        <v>0</v>
      </c>
      <c r="H8" s="78">
        <f>REGISTRO_B.DATOS!H9</f>
        <v>0</v>
      </c>
      <c r="I8" s="78">
        <f>REGISTRO_B.DATOS!I9</f>
        <v>0</v>
      </c>
      <c r="J8" s="78">
        <f>REGISTRO_B.DATOS!J9</f>
        <v>0</v>
      </c>
      <c r="K8" s="80">
        <f>REGISTRO_B.DATOS!K9</f>
        <v>0</v>
      </c>
    </row>
    <row r="9" spans="1:13" x14ac:dyDescent="0.25">
      <c r="A9" s="77">
        <f>REGISTRO_B.DATOS!A10</f>
        <v>0</v>
      </c>
      <c r="B9" s="78">
        <f>REGISTRO_B.DATOS!B10</f>
        <v>0</v>
      </c>
      <c r="C9" s="78">
        <f>REGISTRO_B.DATOS!C10</f>
        <v>0</v>
      </c>
      <c r="D9" s="78">
        <f>REGISTRO_B.DATOS!D10</f>
        <v>0</v>
      </c>
      <c r="E9" s="79">
        <f>REGISTRO_B.DATOS!E10</f>
        <v>0</v>
      </c>
      <c r="F9" s="78">
        <f>REGISTRO_B.DATOS!F10</f>
        <v>0</v>
      </c>
      <c r="G9" s="78">
        <f>REGISTRO_B.DATOS!G10</f>
        <v>0</v>
      </c>
      <c r="H9" s="78">
        <f>REGISTRO_B.DATOS!H10</f>
        <v>0</v>
      </c>
      <c r="I9" s="78">
        <f>REGISTRO_B.DATOS!I10</f>
        <v>0</v>
      </c>
      <c r="J9" s="78">
        <f>REGISTRO_B.DATOS!J10</f>
        <v>0</v>
      </c>
      <c r="K9" s="80">
        <f>REGISTRO_B.DATOS!K10</f>
        <v>0</v>
      </c>
      <c r="M9" t="s">
        <v>6</v>
      </c>
    </row>
    <row r="10" spans="1:13" x14ac:dyDescent="0.25">
      <c r="A10" s="77">
        <f>REGISTRO_B.DATOS!A11</f>
        <v>0</v>
      </c>
      <c r="B10" s="78">
        <f>REGISTRO_B.DATOS!B11</f>
        <v>0</v>
      </c>
      <c r="C10" s="78">
        <f>REGISTRO_B.DATOS!C11</f>
        <v>0</v>
      </c>
      <c r="D10" s="78">
        <f>REGISTRO_B.DATOS!D11</f>
        <v>0</v>
      </c>
      <c r="E10" s="79">
        <f>REGISTRO_B.DATOS!E11</f>
        <v>0</v>
      </c>
      <c r="F10" s="78">
        <f>REGISTRO_B.DATOS!F11</f>
        <v>0</v>
      </c>
      <c r="G10" s="78">
        <f>REGISTRO_B.DATOS!G11</f>
        <v>0</v>
      </c>
      <c r="H10" s="78">
        <f>REGISTRO_B.DATOS!H11</f>
        <v>0</v>
      </c>
      <c r="I10" s="78">
        <f>REGISTRO_B.DATOS!I11</f>
        <v>0</v>
      </c>
      <c r="J10" s="78">
        <f>REGISTRO_B.DATOS!J11</f>
        <v>0</v>
      </c>
      <c r="K10" s="80">
        <f>REGISTRO_B.DATOS!K11</f>
        <v>0</v>
      </c>
      <c r="M10" t="s">
        <v>7</v>
      </c>
    </row>
    <row r="11" spans="1:13" x14ac:dyDescent="0.25">
      <c r="A11" s="77">
        <f>REGISTRO_B.DATOS!A12</f>
        <v>0</v>
      </c>
      <c r="B11" s="78">
        <f>REGISTRO_B.DATOS!B12</f>
        <v>0</v>
      </c>
      <c r="C11" s="78">
        <f>REGISTRO_B.DATOS!C12</f>
        <v>0</v>
      </c>
      <c r="D11" s="78">
        <f>REGISTRO_B.DATOS!D12</f>
        <v>0</v>
      </c>
      <c r="E11" s="79">
        <f>REGISTRO_B.DATOS!E12</f>
        <v>0</v>
      </c>
      <c r="F11" s="78">
        <f>REGISTRO_B.DATOS!F12</f>
        <v>0</v>
      </c>
      <c r="G11" s="78">
        <f>REGISTRO_B.DATOS!G12</f>
        <v>0</v>
      </c>
      <c r="H11" s="78">
        <f>REGISTRO_B.DATOS!H12</f>
        <v>0</v>
      </c>
      <c r="I11" s="78">
        <f>REGISTRO_B.DATOS!I12</f>
        <v>0</v>
      </c>
      <c r="J11" s="78">
        <f>REGISTRO_B.DATOS!J12</f>
        <v>0</v>
      </c>
      <c r="K11" s="80">
        <f>REGISTRO_B.DATOS!K12</f>
        <v>0</v>
      </c>
      <c r="M11" t="s">
        <v>8</v>
      </c>
    </row>
    <row r="12" spans="1:13" x14ac:dyDescent="0.25">
      <c r="A12" s="77">
        <f>REGISTRO_B.DATOS!A13</f>
        <v>0</v>
      </c>
      <c r="B12" s="78">
        <f>REGISTRO_B.DATOS!B13</f>
        <v>0</v>
      </c>
      <c r="C12" s="78">
        <f>REGISTRO_B.DATOS!C13</f>
        <v>0</v>
      </c>
      <c r="D12" s="78">
        <f>REGISTRO_B.DATOS!D13</f>
        <v>0</v>
      </c>
      <c r="E12" s="79">
        <f>REGISTRO_B.DATOS!E13</f>
        <v>0</v>
      </c>
      <c r="F12" s="78">
        <f>REGISTRO_B.DATOS!F13</f>
        <v>0</v>
      </c>
      <c r="G12" s="78">
        <f>REGISTRO_B.DATOS!G13</f>
        <v>0</v>
      </c>
      <c r="H12" s="78">
        <f>REGISTRO_B.DATOS!H13</f>
        <v>0</v>
      </c>
      <c r="I12" s="78">
        <f>REGISTRO_B.DATOS!I13</f>
        <v>0</v>
      </c>
      <c r="J12" s="78">
        <f>REGISTRO_B.DATOS!J13</f>
        <v>0</v>
      </c>
      <c r="K12" s="80">
        <f>REGISTRO_B.DATOS!K13</f>
        <v>0</v>
      </c>
      <c r="M12" t="s">
        <v>9</v>
      </c>
    </row>
    <row r="13" spans="1:13" x14ac:dyDescent="0.25">
      <c r="A13" s="77">
        <f>REGISTRO_B.DATOS!A14</f>
        <v>0</v>
      </c>
      <c r="B13" s="78">
        <f>REGISTRO_B.DATOS!B14</f>
        <v>0</v>
      </c>
      <c r="C13" s="78">
        <f>REGISTRO_B.DATOS!C14</f>
        <v>0</v>
      </c>
      <c r="D13" s="78">
        <f>REGISTRO_B.DATOS!D14</f>
        <v>0</v>
      </c>
      <c r="E13" s="79">
        <f>REGISTRO_B.DATOS!E14</f>
        <v>0</v>
      </c>
      <c r="F13" s="78">
        <f>REGISTRO_B.DATOS!F14</f>
        <v>0</v>
      </c>
      <c r="G13" s="78">
        <f>REGISTRO_B.DATOS!G14</f>
        <v>0</v>
      </c>
      <c r="H13" s="78">
        <f>REGISTRO_B.DATOS!H14</f>
        <v>0</v>
      </c>
      <c r="I13" s="78">
        <f>REGISTRO_B.DATOS!I14</f>
        <v>0</v>
      </c>
      <c r="J13" s="78">
        <f>REGISTRO_B.DATOS!J14</f>
        <v>0</v>
      </c>
      <c r="K13" s="80">
        <f>REGISTRO_B.DATOS!K14</f>
        <v>0</v>
      </c>
      <c r="M13" t="s">
        <v>10</v>
      </c>
    </row>
    <row r="14" spans="1:13" x14ac:dyDescent="0.25">
      <c r="A14" s="77">
        <f>REGISTRO_B.DATOS!A15</f>
        <v>0</v>
      </c>
      <c r="B14" s="78">
        <f>REGISTRO_B.DATOS!B15</f>
        <v>0</v>
      </c>
      <c r="C14" s="78">
        <f>REGISTRO_B.DATOS!C15</f>
        <v>0</v>
      </c>
      <c r="D14" s="78">
        <f>REGISTRO_B.DATOS!D15</f>
        <v>0</v>
      </c>
      <c r="E14" s="79">
        <f>REGISTRO_B.DATOS!E15</f>
        <v>0</v>
      </c>
      <c r="F14" s="78">
        <f>REGISTRO_B.DATOS!F15</f>
        <v>0</v>
      </c>
      <c r="G14" s="78">
        <f>REGISTRO_B.DATOS!G15</f>
        <v>0</v>
      </c>
      <c r="H14" s="78">
        <f>REGISTRO_B.DATOS!H15</f>
        <v>0</v>
      </c>
      <c r="I14" s="78">
        <f>REGISTRO_B.DATOS!I15</f>
        <v>0</v>
      </c>
      <c r="J14" s="78">
        <f>REGISTRO_B.DATOS!J15</f>
        <v>0</v>
      </c>
      <c r="K14" s="80">
        <f>REGISTRO_B.DATOS!K15</f>
        <v>0</v>
      </c>
      <c r="M14" t="s">
        <v>11</v>
      </c>
    </row>
    <row r="15" spans="1:13" x14ac:dyDescent="0.25">
      <c r="A15" s="77">
        <f>REGISTRO_B.DATOS!A16</f>
        <v>0</v>
      </c>
      <c r="B15" s="78">
        <f>REGISTRO_B.DATOS!B16</f>
        <v>0</v>
      </c>
      <c r="C15" s="78">
        <f>REGISTRO_B.DATOS!C16</f>
        <v>0</v>
      </c>
      <c r="D15" s="78">
        <f>REGISTRO_B.DATOS!D16</f>
        <v>0</v>
      </c>
      <c r="E15" s="79">
        <f>REGISTRO_B.DATOS!E16</f>
        <v>0</v>
      </c>
      <c r="F15" s="78">
        <f>REGISTRO_B.DATOS!F16</f>
        <v>0</v>
      </c>
      <c r="G15" s="78">
        <f>REGISTRO_B.DATOS!G16</f>
        <v>0</v>
      </c>
      <c r="H15" s="78">
        <f>REGISTRO_B.DATOS!H16</f>
        <v>0</v>
      </c>
      <c r="I15" s="78">
        <f>REGISTRO_B.DATOS!I16</f>
        <v>0</v>
      </c>
      <c r="J15" s="78">
        <f>REGISTRO_B.DATOS!J16</f>
        <v>0</v>
      </c>
      <c r="K15" s="80">
        <f>REGISTRO_B.DATOS!K16</f>
        <v>0</v>
      </c>
    </row>
    <row r="16" spans="1:13" x14ac:dyDescent="0.25">
      <c r="A16" s="77">
        <f>REGISTRO_B.DATOS!A17</f>
        <v>0</v>
      </c>
      <c r="B16" s="78">
        <f>REGISTRO_B.DATOS!B17</f>
        <v>0</v>
      </c>
      <c r="C16" s="78">
        <f>REGISTRO_B.DATOS!C17</f>
        <v>0</v>
      </c>
      <c r="D16" s="78">
        <f>REGISTRO_B.DATOS!D17</f>
        <v>0</v>
      </c>
      <c r="E16" s="79">
        <f>REGISTRO_B.DATOS!E17</f>
        <v>0</v>
      </c>
      <c r="F16" s="78">
        <f>REGISTRO_B.DATOS!F17</f>
        <v>0</v>
      </c>
      <c r="G16" s="78">
        <f>REGISTRO_B.DATOS!G17</f>
        <v>0</v>
      </c>
      <c r="H16" s="78">
        <f>REGISTRO_B.DATOS!H17</f>
        <v>0</v>
      </c>
      <c r="I16" s="78">
        <f>REGISTRO_B.DATOS!I17</f>
        <v>0</v>
      </c>
      <c r="J16" s="78">
        <f>REGISTRO_B.DATOS!J17</f>
        <v>0</v>
      </c>
      <c r="K16" s="80">
        <f>REGISTRO_B.DATOS!K17</f>
        <v>0</v>
      </c>
    </row>
    <row r="17" spans="1:11" x14ac:dyDescent="0.25">
      <c r="A17" s="77">
        <f>REGISTRO_B.DATOS!A18</f>
        <v>0</v>
      </c>
      <c r="B17" s="78">
        <f>REGISTRO_B.DATOS!B18</f>
        <v>0</v>
      </c>
      <c r="C17" s="78">
        <f>REGISTRO_B.DATOS!C18</f>
        <v>0</v>
      </c>
      <c r="D17" s="78">
        <f>REGISTRO_B.DATOS!D18</f>
        <v>0</v>
      </c>
      <c r="E17" s="79">
        <f>REGISTRO_B.DATOS!E18</f>
        <v>0</v>
      </c>
      <c r="F17" s="78">
        <f>REGISTRO_B.DATOS!F18</f>
        <v>0</v>
      </c>
      <c r="G17" s="78">
        <f>REGISTRO_B.DATOS!G18</f>
        <v>0</v>
      </c>
      <c r="H17" s="78">
        <f>REGISTRO_B.DATOS!H18</f>
        <v>0</v>
      </c>
      <c r="I17" s="78">
        <f>REGISTRO_B.DATOS!I18</f>
        <v>0</v>
      </c>
      <c r="J17" s="78">
        <f>REGISTRO_B.DATOS!J18</f>
        <v>0</v>
      </c>
      <c r="K17" s="80">
        <f>REGISTRO_B.DATOS!K18</f>
        <v>0</v>
      </c>
    </row>
    <row r="18" spans="1:11" x14ac:dyDescent="0.25">
      <c r="A18" s="77">
        <f>REGISTRO_B.DATOS!A19</f>
        <v>0</v>
      </c>
      <c r="B18" s="78">
        <f>REGISTRO_B.DATOS!B19</f>
        <v>0</v>
      </c>
      <c r="C18" s="78">
        <f>REGISTRO_B.DATOS!C19</f>
        <v>0</v>
      </c>
      <c r="D18" s="78">
        <f>REGISTRO_B.DATOS!D19</f>
        <v>0</v>
      </c>
      <c r="E18" s="79">
        <f>REGISTRO_B.DATOS!E19</f>
        <v>0</v>
      </c>
      <c r="F18" s="78">
        <f>REGISTRO_B.DATOS!F19</f>
        <v>0</v>
      </c>
      <c r="G18" s="78">
        <f>REGISTRO_B.DATOS!G19</f>
        <v>0</v>
      </c>
      <c r="H18" s="78">
        <f>REGISTRO_B.DATOS!H19</f>
        <v>0</v>
      </c>
      <c r="I18" s="78">
        <f>REGISTRO_B.DATOS!I19</f>
        <v>0</v>
      </c>
      <c r="J18" s="78">
        <f>REGISTRO_B.DATOS!J19</f>
        <v>0</v>
      </c>
      <c r="K18" s="80">
        <f>REGISTRO_B.DATOS!K19</f>
        <v>0</v>
      </c>
    </row>
    <row r="19" spans="1:11" x14ac:dyDescent="0.25">
      <c r="A19" s="77">
        <f>REGISTRO_B.DATOS!A20</f>
        <v>0</v>
      </c>
      <c r="B19" s="78">
        <f>REGISTRO_B.DATOS!B20</f>
        <v>0</v>
      </c>
      <c r="C19" s="78">
        <f>REGISTRO_B.DATOS!C20</f>
        <v>0</v>
      </c>
      <c r="D19" s="78">
        <f>REGISTRO_B.DATOS!D20</f>
        <v>0</v>
      </c>
      <c r="E19" s="79">
        <f>REGISTRO_B.DATOS!E20</f>
        <v>0</v>
      </c>
      <c r="F19" s="78">
        <f>REGISTRO_B.DATOS!F20</f>
        <v>0</v>
      </c>
      <c r="G19" s="78">
        <f>REGISTRO_B.DATOS!G20</f>
        <v>0</v>
      </c>
      <c r="H19" s="78">
        <f>REGISTRO_B.DATOS!H20</f>
        <v>0</v>
      </c>
      <c r="I19" s="78">
        <f>REGISTRO_B.DATOS!I20</f>
        <v>0</v>
      </c>
      <c r="J19" s="78">
        <f>REGISTRO_B.DATOS!J20</f>
        <v>0</v>
      </c>
      <c r="K19" s="80">
        <f>REGISTRO_B.DATOS!K20</f>
        <v>0</v>
      </c>
    </row>
    <row r="20" spans="1:11" x14ac:dyDescent="0.25">
      <c r="A20" s="77">
        <f>REGISTRO_B.DATOS!A21</f>
        <v>0</v>
      </c>
      <c r="B20" s="78">
        <f>REGISTRO_B.DATOS!B21</f>
        <v>0</v>
      </c>
      <c r="C20" s="78">
        <f>REGISTRO_B.DATOS!C21</f>
        <v>0</v>
      </c>
      <c r="D20" s="78">
        <f>REGISTRO_B.DATOS!D21</f>
        <v>0</v>
      </c>
      <c r="E20" s="79">
        <f>REGISTRO_B.DATOS!E21</f>
        <v>0</v>
      </c>
      <c r="F20" s="78">
        <f>REGISTRO_B.DATOS!F21</f>
        <v>0</v>
      </c>
      <c r="G20" s="78">
        <f>REGISTRO_B.DATOS!G21</f>
        <v>0</v>
      </c>
      <c r="H20" s="78">
        <f>REGISTRO_B.DATOS!H21</f>
        <v>0</v>
      </c>
      <c r="I20" s="78">
        <f>REGISTRO_B.DATOS!I21</f>
        <v>0</v>
      </c>
      <c r="J20" s="78">
        <f>REGISTRO_B.DATOS!J21</f>
        <v>0</v>
      </c>
      <c r="K20" s="80">
        <f>REGISTRO_B.DATOS!K21</f>
        <v>0</v>
      </c>
    </row>
    <row r="21" spans="1:11" x14ac:dyDescent="0.25">
      <c r="A21" s="77">
        <f>REGISTRO_B.DATOS!A22</f>
        <v>0</v>
      </c>
      <c r="B21" s="78">
        <f>REGISTRO_B.DATOS!B22</f>
        <v>0</v>
      </c>
      <c r="C21" s="78">
        <f>REGISTRO_B.DATOS!C22</f>
        <v>0</v>
      </c>
      <c r="D21" s="78">
        <f>REGISTRO_B.DATOS!D22</f>
        <v>0</v>
      </c>
      <c r="E21" s="79">
        <f>REGISTRO_B.DATOS!E22</f>
        <v>0</v>
      </c>
      <c r="F21" s="78">
        <f>REGISTRO_B.DATOS!F22</f>
        <v>0</v>
      </c>
      <c r="G21" s="78">
        <f>REGISTRO_B.DATOS!G22</f>
        <v>0</v>
      </c>
      <c r="H21" s="78">
        <f>REGISTRO_B.DATOS!H22</f>
        <v>0</v>
      </c>
      <c r="I21" s="78">
        <f>REGISTRO_B.DATOS!I22</f>
        <v>0</v>
      </c>
      <c r="J21" s="78">
        <f>REGISTRO_B.DATOS!J22</f>
        <v>0</v>
      </c>
      <c r="K21" s="80">
        <f>REGISTRO_B.DATOS!K22</f>
        <v>0</v>
      </c>
    </row>
    <row r="22" spans="1:11" x14ac:dyDescent="0.25">
      <c r="A22" s="77">
        <f>REGISTRO_B.DATOS!A23</f>
        <v>0</v>
      </c>
      <c r="B22" s="78">
        <f>REGISTRO_B.DATOS!B23</f>
        <v>0</v>
      </c>
      <c r="C22" s="78">
        <f>REGISTRO_B.DATOS!C23</f>
        <v>0</v>
      </c>
      <c r="D22" s="78">
        <f>REGISTRO_B.DATOS!D23</f>
        <v>0</v>
      </c>
      <c r="E22" s="79">
        <f>REGISTRO_B.DATOS!E23</f>
        <v>0</v>
      </c>
      <c r="F22" s="78">
        <f>REGISTRO_B.DATOS!F23</f>
        <v>0</v>
      </c>
      <c r="G22" s="78">
        <f>REGISTRO_B.DATOS!G23</f>
        <v>0</v>
      </c>
      <c r="H22" s="78">
        <f>REGISTRO_B.DATOS!H23</f>
        <v>0</v>
      </c>
      <c r="I22" s="78">
        <f>REGISTRO_B.DATOS!I23</f>
        <v>0</v>
      </c>
      <c r="J22" s="78">
        <f>REGISTRO_B.DATOS!J23</f>
        <v>0</v>
      </c>
      <c r="K22" s="80">
        <f>REGISTRO_B.DATOS!K23</f>
        <v>0</v>
      </c>
    </row>
    <row r="23" spans="1:11" x14ac:dyDescent="0.25">
      <c r="A23" s="77">
        <f>REGISTRO_B.DATOS!A24</f>
        <v>0</v>
      </c>
      <c r="B23" s="78">
        <f>REGISTRO_B.DATOS!B24</f>
        <v>0</v>
      </c>
      <c r="C23" s="78">
        <f>REGISTRO_B.DATOS!C24</f>
        <v>0</v>
      </c>
      <c r="D23" s="78">
        <f>REGISTRO_B.DATOS!D24</f>
        <v>0</v>
      </c>
      <c r="E23" s="79">
        <f>REGISTRO_B.DATOS!E24</f>
        <v>0</v>
      </c>
      <c r="F23" s="78">
        <f>REGISTRO_B.DATOS!F24</f>
        <v>0</v>
      </c>
      <c r="G23" s="78">
        <f>REGISTRO_B.DATOS!G24</f>
        <v>0</v>
      </c>
      <c r="H23" s="78">
        <f>REGISTRO_B.DATOS!H24</f>
        <v>0</v>
      </c>
      <c r="I23" s="78">
        <f>REGISTRO_B.DATOS!I24</f>
        <v>0</v>
      </c>
      <c r="J23" s="78">
        <f>REGISTRO_B.DATOS!J24</f>
        <v>0</v>
      </c>
      <c r="K23" s="80">
        <f>REGISTRO_B.DATOS!K24</f>
        <v>0</v>
      </c>
    </row>
    <row r="24" spans="1:11" x14ac:dyDescent="0.25">
      <c r="A24" s="77">
        <f>REGISTRO_B.DATOS!A25</f>
        <v>0</v>
      </c>
      <c r="B24" s="78">
        <f>REGISTRO_B.DATOS!B25</f>
        <v>0</v>
      </c>
      <c r="C24" s="78">
        <f>REGISTRO_B.DATOS!C25</f>
        <v>0</v>
      </c>
      <c r="D24" s="78">
        <f>REGISTRO_B.DATOS!D25</f>
        <v>0</v>
      </c>
      <c r="E24" s="79">
        <f>REGISTRO_B.DATOS!E25</f>
        <v>0</v>
      </c>
      <c r="F24" s="78">
        <f>REGISTRO_B.DATOS!F25</f>
        <v>0</v>
      </c>
      <c r="G24" s="78">
        <f>REGISTRO_B.DATOS!G25</f>
        <v>0</v>
      </c>
      <c r="H24" s="78">
        <f>REGISTRO_B.DATOS!H25</f>
        <v>0</v>
      </c>
      <c r="I24" s="78">
        <f>REGISTRO_B.DATOS!I25</f>
        <v>0</v>
      </c>
      <c r="J24" s="78">
        <f>REGISTRO_B.DATOS!J25</f>
        <v>0</v>
      </c>
      <c r="K24" s="80">
        <f>REGISTRO_B.DATOS!K25</f>
        <v>0</v>
      </c>
    </row>
    <row r="25" spans="1:11" x14ac:dyDescent="0.25">
      <c r="A25" s="77">
        <f>REGISTRO_B.DATOS!A26</f>
        <v>0</v>
      </c>
      <c r="B25" s="78">
        <f>REGISTRO_B.DATOS!B26</f>
        <v>0</v>
      </c>
      <c r="C25" s="78">
        <f>REGISTRO_B.DATOS!C26</f>
        <v>0</v>
      </c>
      <c r="D25" s="78">
        <f>REGISTRO_B.DATOS!D26</f>
        <v>0</v>
      </c>
      <c r="E25" s="79">
        <f>REGISTRO_B.DATOS!E26</f>
        <v>0</v>
      </c>
      <c r="F25" s="78">
        <f>REGISTRO_B.DATOS!F26</f>
        <v>0</v>
      </c>
      <c r="G25" s="78">
        <f>REGISTRO_B.DATOS!G26</f>
        <v>0</v>
      </c>
      <c r="H25" s="78">
        <f>REGISTRO_B.DATOS!H26</f>
        <v>0</v>
      </c>
      <c r="I25" s="78">
        <f>REGISTRO_B.DATOS!I26</f>
        <v>0</v>
      </c>
      <c r="J25" s="78">
        <f>REGISTRO_B.DATOS!J26</f>
        <v>0</v>
      </c>
      <c r="K25" s="80">
        <f>REGISTRO_B.DATOS!K26</f>
        <v>0</v>
      </c>
    </row>
    <row r="26" spans="1:11" x14ac:dyDescent="0.25">
      <c r="A26" s="77">
        <f>REGISTRO_B.DATOS!A27</f>
        <v>0</v>
      </c>
      <c r="B26" s="78">
        <f>REGISTRO_B.DATOS!B27</f>
        <v>0</v>
      </c>
      <c r="C26" s="78">
        <f>REGISTRO_B.DATOS!C27</f>
        <v>0</v>
      </c>
      <c r="D26" s="78">
        <f>REGISTRO_B.DATOS!D27</f>
        <v>0</v>
      </c>
      <c r="E26" s="79">
        <f>REGISTRO_B.DATOS!E27</f>
        <v>0</v>
      </c>
      <c r="F26" s="78">
        <f>REGISTRO_B.DATOS!F27</f>
        <v>0</v>
      </c>
      <c r="G26" s="78">
        <f>REGISTRO_B.DATOS!G27</f>
        <v>0</v>
      </c>
      <c r="H26" s="78">
        <f>REGISTRO_B.DATOS!H27</f>
        <v>0</v>
      </c>
      <c r="I26" s="78">
        <f>REGISTRO_B.DATOS!I27</f>
        <v>0</v>
      </c>
      <c r="J26" s="78">
        <f>REGISTRO_B.DATOS!J27</f>
        <v>0</v>
      </c>
      <c r="K26" s="80">
        <f>REGISTRO_B.DATOS!K27</f>
        <v>0</v>
      </c>
    </row>
    <row r="27" spans="1:11" x14ac:dyDescent="0.25">
      <c r="A27" s="77">
        <f>REGISTRO_B.DATOS!A28</f>
        <v>0</v>
      </c>
      <c r="B27" s="78">
        <f>REGISTRO_B.DATOS!B28</f>
        <v>0</v>
      </c>
      <c r="C27" s="78">
        <f>REGISTRO_B.DATOS!C28</f>
        <v>0</v>
      </c>
      <c r="D27" s="78">
        <f>REGISTRO_B.DATOS!D28</f>
        <v>0</v>
      </c>
      <c r="E27" s="79">
        <f>REGISTRO_B.DATOS!E28</f>
        <v>0</v>
      </c>
      <c r="F27" s="78">
        <f>REGISTRO_B.DATOS!F28</f>
        <v>0</v>
      </c>
      <c r="G27" s="78">
        <f>REGISTRO_B.DATOS!G28</f>
        <v>0</v>
      </c>
      <c r="H27" s="78">
        <f>REGISTRO_B.DATOS!H28</f>
        <v>0</v>
      </c>
      <c r="I27" s="78">
        <f>REGISTRO_B.DATOS!I28</f>
        <v>0</v>
      </c>
      <c r="J27" s="78">
        <f>REGISTRO_B.DATOS!J28</f>
        <v>0</v>
      </c>
      <c r="K27" s="80">
        <f>REGISTRO_B.DATOS!K28</f>
        <v>0</v>
      </c>
    </row>
    <row r="28" spans="1:11" x14ac:dyDescent="0.25">
      <c r="A28" s="77">
        <f>REGISTRO_B.DATOS!A29</f>
        <v>0</v>
      </c>
      <c r="B28" s="78">
        <f>REGISTRO_B.DATOS!B29</f>
        <v>0</v>
      </c>
      <c r="C28" s="78">
        <f>REGISTRO_B.DATOS!C29</f>
        <v>0</v>
      </c>
      <c r="D28" s="78">
        <f>REGISTRO_B.DATOS!D29</f>
        <v>0</v>
      </c>
      <c r="E28" s="79">
        <f>REGISTRO_B.DATOS!E29</f>
        <v>0</v>
      </c>
      <c r="F28" s="78">
        <f>REGISTRO_B.DATOS!F29</f>
        <v>0</v>
      </c>
      <c r="G28" s="78">
        <f>REGISTRO_B.DATOS!G29</f>
        <v>0</v>
      </c>
      <c r="H28" s="78">
        <f>REGISTRO_B.DATOS!H29</f>
        <v>0</v>
      </c>
      <c r="I28" s="78">
        <f>REGISTRO_B.DATOS!I29</f>
        <v>0</v>
      </c>
      <c r="J28" s="78">
        <f>REGISTRO_B.DATOS!J29</f>
        <v>0</v>
      </c>
      <c r="K28" s="80">
        <f>REGISTRO_B.DATOS!K29</f>
        <v>0</v>
      </c>
    </row>
    <row r="29" spans="1:11" x14ac:dyDescent="0.25">
      <c r="A29" s="77">
        <f>REGISTRO_B.DATOS!A30</f>
        <v>0</v>
      </c>
      <c r="B29" s="78">
        <f>REGISTRO_B.DATOS!B30</f>
        <v>0</v>
      </c>
      <c r="C29" s="78">
        <f>REGISTRO_B.DATOS!C30</f>
        <v>0</v>
      </c>
      <c r="D29" s="78">
        <f>REGISTRO_B.DATOS!D30</f>
        <v>0</v>
      </c>
      <c r="E29" s="79">
        <f>REGISTRO_B.DATOS!E30</f>
        <v>0</v>
      </c>
      <c r="F29" s="78">
        <f>REGISTRO_B.DATOS!F30</f>
        <v>0</v>
      </c>
      <c r="G29" s="78">
        <f>REGISTRO_B.DATOS!G30</f>
        <v>0</v>
      </c>
      <c r="H29" s="78">
        <f>REGISTRO_B.DATOS!H30</f>
        <v>0</v>
      </c>
      <c r="I29" s="78">
        <f>REGISTRO_B.DATOS!I30</f>
        <v>0</v>
      </c>
      <c r="J29" s="78">
        <f>REGISTRO_B.DATOS!J30</f>
        <v>0</v>
      </c>
      <c r="K29" s="80">
        <f>REGISTRO_B.DATOS!K30</f>
        <v>0</v>
      </c>
    </row>
    <row r="30" spans="1:11" x14ac:dyDescent="0.25">
      <c r="A30" s="77">
        <f>REGISTRO_B.DATOS!A31</f>
        <v>0</v>
      </c>
      <c r="B30" s="78">
        <f>REGISTRO_B.DATOS!B31</f>
        <v>0</v>
      </c>
      <c r="C30" s="78">
        <f>REGISTRO_B.DATOS!C31</f>
        <v>0</v>
      </c>
      <c r="D30" s="78">
        <f>REGISTRO_B.DATOS!D31</f>
        <v>0</v>
      </c>
      <c r="E30" s="79">
        <f>REGISTRO_B.DATOS!E31</f>
        <v>0</v>
      </c>
      <c r="F30" s="78">
        <f>REGISTRO_B.DATOS!F31</f>
        <v>0</v>
      </c>
      <c r="G30" s="78">
        <f>REGISTRO_B.DATOS!G31</f>
        <v>0</v>
      </c>
      <c r="H30" s="78">
        <f>REGISTRO_B.DATOS!H31</f>
        <v>0</v>
      </c>
      <c r="I30" s="78">
        <f>REGISTRO_B.DATOS!I31</f>
        <v>0</v>
      </c>
      <c r="J30" s="78">
        <f>REGISTRO_B.DATOS!J31</f>
        <v>0</v>
      </c>
      <c r="K30" s="80">
        <f>REGISTRO_B.DATOS!K31</f>
        <v>0</v>
      </c>
    </row>
    <row r="31" spans="1:11" x14ac:dyDescent="0.25">
      <c r="A31" s="77">
        <f>REGISTRO_B.DATOS!A32</f>
        <v>0</v>
      </c>
      <c r="B31" s="78">
        <f>REGISTRO_B.DATOS!B32</f>
        <v>0</v>
      </c>
      <c r="C31" s="78">
        <f>REGISTRO_B.DATOS!C32</f>
        <v>0</v>
      </c>
      <c r="D31" s="78">
        <f>REGISTRO_B.DATOS!D32</f>
        <v>0</v>
      </c>
      <c r="E31" s="79">
        <f>REGISTRO_B.DATOS!E32</f>
        <v>0</v>
      </c>
      <c r="F31" s="78">
        <f>REGISTRO_B.DATOS!F32</f>
        <v>0</v>
      </c>
      <c r="G31" s="78">
        <f>REGISTRO_B.DATOS!G32</f>
        <v>0</v>
      </c>
      <c r="H31" s="78">
        <f>REGISTRO_B.DATOS!H32</f>
        <v>0</v>
      </c>
      <c r="I31" s="78">
        <f>REGISTRO_B.DATOS!I32</f>
        <v>0</v>
      </c>
      <c r="J31" s="78">
        <f>REGISTRO_B.DATOS!J32</f>
        <v>0</v>
      </c>
      <c r="K31" s="80">
        <f>REGISTRO_B.DATOS!K32</f>
        <v>0</v>
      </c>
    </row>
    <row r="32" spans="1:11" x14ac:dyDescent="0.25">
      <c r="A32" s="77">
        <f>REGISTRO_B.DATOS!A33</f>
        <v>0</v>
      </c>
      <c r="B32" s="78">
        <f>REGISTRO_B.DATOS!B33</f>
        <v>0</v>
      </c>
      <c r="C32" s="78">
        <f>REGISTRO_B.DATOS!C33</f>
        <v>0</v>
      </c>
      <c r="D32" s="78">
        <f>REGISTRO_B.DATOS!D33</f>
        <v>0</v>
      </c>
      <c r="E32" s="79">
        <f>REGISTRO_B.DATOS!E33</f>
        <v>0</v>
      </c>
      <c r="F32" s="78">
        <f>REGISTRO_B.DATOS!F33</f>
        <v>0</v>
      </c>
      <c r="G32" s="78">
        <f>REGISTRO_B.DATOS!G33</f>
        <v>0</v>
      </c>
      <c r="H32" s="78">
        <f>REGISTRO_B.DATOS!H33</f>
        <v>0</v>
      </c>
      <c r="I32" s="78">
        <f>REGISTRO_B.DATOS!I33</f>
        <v>0</v>
      </c>
      <c r="J32" s="78">
        <f>REGISTRO_B.DATOS!J33</f>
        <v>0</v>
      </c>
      <c r="K32" s="80">
        <f>REGISTRO_B.DATOS!K33</f>
        <v>0</v>
      </c>
    </row>
    <row r="33" spans="1:11" x14ac:dyDescent="0.25">
      <c r="A33" s="77">
        <f>REGISTRO_B.DATOS!A34</f>
        <v>0</v>
      </c>
      <c r="B33" s="78">
        <f>REGISTRO_B.DATOS!B34</f>
        <v>0</v>
      </c>
      <c r="C33" s="78">
        <f>REGISTRO_B.DATOS!C34</f>
        <v>0</v>
      </c>
      <c r="D33" s="78">
        <f>REGISTRO_B.DATOS!D34</f>
        <v>0</v>
      </c>
      <c r="E33" s="79">
        <f>REGISTRO_B.DATOS!E34</f>
        <v>0</v>
      </c>
      <c r="F33" s="78">
        <f>REGISTRO_B.DATOS!F34</f>
        <v>0</v>
      </c>
      <c r="G33" s="78">
        <f>REGISTRO_B.DATOS!G34</f>
        <v>0</v>
      </c>
      <c r="H33" s="78">
        <f>REGISTRO_B.DATOS!H34</f>
        <v>0</v>
      </c>
      <c r="I33" s="78">
        <f>REGISTRO_B.DATOS!I34</f>
        <v>0</v>
      </c>
      <c r="J33" s="78">
        <f>REGISTRO_B.DATOS!J34</f>
        <v>0</v>
      </c>
      <c r="K33" s="80">
        <f>REGISTRO_B.DATOS!K34</f>
        <v>0</v>
      </c>
    </row>
    <row r="34" spans="1:11" x14ac:dyDescent="0.25">
      <c r="A34" s="77">
        <f>REGISTRO_B.DATOS!A35</f>
        <v>0</v>
      </c>
      <c r="B34" s="78">
        <f>REGISTRO_B.DATOS!B35</f>
        <v>0</v>
      </c>
      <c r="C34" s="78">
        <f>REGISTRO_B.DATOS!C35</f>
        <v>0</v>
      </c>
      <c r="D34" s="78">
        <f>REGISTRO_B.DATOS!D35</f>
        <v>0</v>
      </c>
      <c r="E34" s="79">
        <f>REGISTRO_B.DATOS!E35</f>
        <v>0</v>
      </c>
      <c r="F34" s="78">
        <f>REGISTRO_B.DATOS!F35</f>
        <v>0</v>
      </c>
      <c r="G34" s="78">
        <f>REGISTRO_B.DATOS!G35</f>
        <v>0</v>
      </c>
      <c r="H34" s="78">
        <f>REGISTRO_B.DATOS!H35</f>
        <v>0</v>
      </c>
      <c r="I34" s="78">
        <f>REGISTRO_B.DATOS!I35</f>
        <v>0</v>
      </c>
      <c r="J34" s="78">
        <f>REGISTRO_B.DATOS!J35</f>
        <v>0</v>
      </c>
      <c r="K34" s="80">
        <f>REGISTRO_B.DATOS!K35</f>
        <v>0</v>
      </c>
    </row>
    <row r="35" spans="1:11" x14ac:dyDescent="0.25">
      <c r="A35" s="77">
        <f>REGISTRO_B.DATOS!A36</f>
        <v>0</v>
      </c>
      <c r="B35" s="78">
        <f>REGISTRO_B.DATOS!B36</f>
        <v>0</v>
      </c>
      <c r="C35" s="78">
        <f>REGISTRO_B.DATOS!C36</f>
        <v>0</v>
      </c>
      <c r="D35" s="78">
        <f>REGISTRO_B.DATOS!D36</f>
        <v>0</v>
      </c>
      <c r="E35" s="79">
        <f>REGISTRO_B.DATOS!E36</f>
        <v>0</v>
      </c>
      <c r="F35" s="78">
        <f>REGISTRO_B.DATOS!F36</f>
        <v>0</v>
      </c>
      <c r="G35" s="78">
        <f>REGISTRO_B.DATOS!G36</f>
        <v>0</v>
      </c>
      <c r="H35" s="78">
        <f>REGISTRO_B.DATOS!H36</f>
        <v>0</v>
      </c>
      <c r="I35" s="78">
        <f>REGISTRO_B.DATOS!I36</f>
        <v>0</v>
      </c>
      <c r="J35" s="78">
        <f>REGISTRO_B.DATOS!J36</f>
        <v>0</v>
      </c>
      <c r="K35" s="80">
        <f>REGISTRO_B.DATOS!K36</f>
        <v>0</v>
      </c>
    </row>
    <row r="36" spans="1:11" x14ac:dyDescent="0.25">
      <c r="A36" s="77">
        <f>REGISTRO_B.DATOS!A37</f>
        <v>0</v>
      </c>
      <c r="B36" s="78">
        <f>REGISTRO_B.DATOS!B37</f>
        <v>0</v>
      </c>
      <c r="C36" s="78">
        <f>REGISTRO_B.DATOS!C37</f>
        <v>0</v>
      </c>
      <c r="D36" s="78">
        <f>REGISTRO_B.DATOS!D37</f>
        <v>0</v>
      </c>
      <c r="E36" s="79">
        <f>REGISTRO_B.DATOS!E37</f>
        <v>0</v>
      </c>
      <c r="F36" s="78">
        <f>REGISTRO_B.DATOS!F37</f>
        <v>0</v>
      </c>
      <c r="G36" s="78">
        <f>REGISTRO_B.DATOS!G37</f>
        <v>0</v>
      </c>
      <c r="H36" s="78">
        <f>REGISTRO_B.DATOS!H37</f>
        <v>0</v>
      </c>
      <c r="I36" s="78">
        <f>REGISTRO_B.DATOS!I37</f>
        <v>0</v>
      </c>
      <c r="J36" s="78">
        <f>REGISTRO_B.DATOS!J37</f>
        <v>0</v>
      </c>
      <c r="K36" s="80">
        <f>REGISTRO_B.DATOS!K37</f>
        <v>0</v>
      </c>
    </row>
    <row r="37" spans="1:11" x14ac:dyDescent="0.25">
      <c r="A37" s="77">
        <f>REGISTRO_B.DATOS!A38</f>
        <v>0</v>
      </c>
      <c r="B37" s="78">
        <f>REGISTRO_B.DATOS!B38</f>
        <v>0</v>
      </c>
      <c r="C37" s="78">
        <f>REGISTRO_B.DATOS!C38</f>
        <v>0</v>
      </c>
      <c r="D37" s="78">
        <f>REGISTRO_B.DATOS!D38</f>
        <v>0</v>
      </c>
      <c r="E37" s="79">
        <f>REGISTRO_B.DATOS!E38</f>
        <v>0</v>
      </c>
      <c r="F37" s="78">
        <f>REGISTRO_B.DATOS!F38</f>
        <v>0</v>
      </c>
      <c r="G37" s="78">
        <f>REGISTRO_B.DATOS!G38</f>
        <v>0</v>
      </c>
      <c r="H37" s="78">
        <f>REGISTRO_B.DATOS!H38</f>
        <v>0</v>
      </c>
      <c r="I37" s="78">
        <f>REGISTRO_B.DATOS!I38</f>
        <v>0</v>
      </c>
      <c r="J37" s="78">
        <f>REGISTRO_B.DATOS!J38</f>
        <v>0</v>
      </c>
      <c r="K37" s="80">
        <f>REGISTRO_B.DATOS!K38</f>
        <v>0</v>
      </c>
    </row>
    <row r="38" spans="1:11" x14ac:dyDescent="0.25">
      <c r="A38" s="77">
        <f>REGISTRO_B.DATOS!A39</f>
        <v>0</v>
      </c>
      <c r="B38" s="78">
        <f>REGISTRO_B.DATOS!B39</f>
        <v>0</v>
      </c>
      <c r="C38" s="78">
        <f>REGISTRO_B.DATOS!C39</f>
        <v>0</v>
      </c>
      <c r="D38" s="78">
        <f>REGISTRO_B.DATOS!D39</f>
        <v>0</v>
      </c>
      <c r="E38" s="79">
        <f>REGISTRO_B.DATOS!E39</f>
        <v>0</v>
      </c>
      <c r="F38" s="78">
        <f>REGISTRO_B.DATOS!F39</f>
        <v>0</v>
      </c>
      <c r="G38" s="78">
        <f>REGISTRO_B.DATOS!G39</f>
        <v>0</v>
      </c>
      <c r="H38" s="78">
        <f>REGISTRO_B.DATOS!H39</f>
        <v>0</v>
      </c>
      <c r="I38" s="78">
        <f>REGISTRO_B.DATOS!I39</f>
        <v>0</v>
      </c>
      <c r="J38" s="78">
        <f>REGISTRO_B.DATOS!J39</f>
        <v>0</v>
      </c>
      <c r="K38" s="80">
        <f>REGISTRO_B.DATOS!K39</f>
        <v>0</v>
      </c>
    </row>
    <row r="39" spans="1:11" x14ac:dyDescent="0.25">
      <c r="A39" s="77">
        <f>REGISTRO_B.DATOS!A40</f>
        <v>0</v>
      </c>
      <c r="B39" s="78">
        <f>REGISTRO_B.DATOS!B40</f>
        <v>0</v>
      </c>
      <c r="C39" s="78">
        <f>REGISTRO_B.DATOS!C40</f>
        <v>0</v>
      </c>
      <c r="D39" s="78">
        <f>REGISTRO_B.DATOS!D40</f>
        <v>0</v>
      </c>
      <c r="E39" s="79">
        <f>REGISTRO_B.DATOS!E40</f>
        <v>0</v>
      </c>
      <c r="F39" s="78">
        <f>REGISTRO_B.DATOS!F40</f>
        <v>0</v>
      </c>
      <c r="G39" s="78">
        <f>REGISTRO_B.DATOS!G40</f>
        <v>0</v>
      </c>
      <c r="H39" s="78">
        <f>REGISTRO_B.DATOS!H40</f>
        <v>0</v>
      </c>
      <c r="I39" s="78">
        <f>REGISTRO_B.DATOS!I40</f>
        <v>0</v>
      </c>
      <c r="J39" s="78">
        <f>REGISTRO_B.DATOS!J40</f>
        <v>0</v>
      </c>
      <c r="K39" s="80">
        <f>REGISTRO_B.DATOS!K40</f>
        <v>0</v>
      </c>
    </row>
    <row r="40" spans="1:11" x14ac:dyDescent="0.25">
      <c r="A40" s="40">
        <f>REGISTRO_B.DATOS!A41</f>
        <v>0</v>
      </c>
      <c r="B40" s="41">
        <f>REGISTRO_B.DATOS!B41</f>
        <v>0</v>
      </c>
      <c r="C40" s="41">
        <f>REGISTRO_B.DATOS!C41</f>
        <v>0</v>
      </c>
      <c r="D40" s="41">
        <f>REGISTRO_B.DATOS!D41</f>
        <v>0</v>
      </c>
      <c r="E40" s="42">
        <f>REGISTRO_B.DATOS!E41</f>
        <v>0</v>
      </c>
      <c r="F40" s="41">
        <f>REGISTRO_B.DATOS!F41</f>
        <v>0</v>
      </c>
      <c r="G40" s="41">
        <f>REGISTRO_B.DATOS!G41</f>
        <v>0</v>
      </c>
      <c r="H40" s="41">
        <f>REGISTRO_B.DATOS!H41</f>
        <v>0</v>
      </c>
      <c r="I40" s="41">
        <f>REGISTRO_B.DATOS!I41</f>
        <v>0</v>
      </c>
      <c r="J40" s="41">
        <f>REGISTRO_B.DATOS!J41</f>
        <v>0</v>
      </c>
      <c r="K40" s="43">
        <f>REGISTRO_B.DATOS!K41</f>
        <v>0</v>
      </c>
    </row>
    <row r="41" spans="1:11" x14ac:dyDescent="0.25">
      <c r="A41" s="40">
        <f>REGISTRO_B.DATOS!A42</f>
        <v>0</v>
      </c>
      <c r="B41" s="41">
        <f>REGISTRO_B.DATOS!B42</f>
        <v>0</v>
      </c>
      <c r="C41" s="41">
        <f>REGISTRO_B.DATOS!C42</f>
        <v>0</v>
      </c>
      <c r="D41" s="41">
        <f>REGISTRO_B.DATOS!D42</f>
        <v>0</v>
      </c>
      <c r="E41" s="42">
        <f>REGISTRO_B.DATOS!E42</f>
        <v>0</v>
      </c>
      <c r="F41" s="41">
        <f>REGISTRO_B.DATOS!F42</f>
        <v>0</v>
      </c>
      <c r="G41" s="41">
        <f>REGISTRO_B.DATOS!G42</f>
        <v>0</v>
      </c>
      <c r="H41" s="41">
        <f>REGISTRO_B.DATOS!H42</f>
        <v>0</v>
      </c>
      <c r="I41" s="41">
        <f>REGISTRO_B.DATOS!I42</f>
        <v>0</v>
      </c>
      <c r="J41" s="41">
        <f>REGISTRO_B.DATOS!J42</f>
        <v>0</v>
      </c>
      <c r="K41" s="43">
        <f>REGISTRO_B.DATOS!K42</f>
        <v>0</v>
      </c>
    </row>
    <row r="42" spans="1:11" x14ac:dyDescent="0.25">
      <c r="A42" s="40">
        <f>REGISTRO_B.DATOS!A43</f>
        <v>0</v>
      </c>
      <c r="B42" s="41">
        <f>REGISTRO_B.DATOS!B43</f>
        <v>0</v>
      </c>
      <c r="C42" s="41">
        <f>REGISTRO_B.DATOS!C43</f>
        <v>0</v>
      </c>
      <c r="D42" s="41">
        <f>REGISTRO_B.DATOS!D43</f>
        <v>0</v>
      </c>
      <c r="E42" s="42">
        <f>REGISTRO_B.DATOS!E43</f>
        <v>0</v>
      </c>
      <c r="F42" s="41">
        <f>REGISTRO_B.DATOS!F43</f>
        <v>0</v>
      </c>
      <c r="G42" s="41">
        <f>REGISTRO_B.DATOS!G43</f>
        <v>0</v>
      </c>
      <c r="H42" s="41">
        <f>REGISTRO_B.DATOS!H43</f>
        <v>0</v>
      </c>
      <c r="I42" s="41">
        <f>REGISTRO_B.DATOS!I43</f>
        <v>0</v>
      </c>
      <c r="J42" s="41">
        <f>REGISTRO_B.DATOS!J43</f>
        <v>0</v>
      </c>
      <c r="K42" s="43">
        <f>REGISTRO_B.DATOS!K43</f>
        <v>0</v>
      </c>
    </row>
    <row r="43" spans="1:11" x14ac:dyDescent="0.25">
      <c r="A43" s="40">
        <f>REGISTRO_B.DATOS!A44</f>
        <v>0</v>
      </c>
      <c r="B43" s="41">
        <f>REGISTRO_B.DATOS!B44</f>
        <v>0</v>
      </c>
      <c r="C43" s="41">
        <f>REGISTRO_B.DATOS!C44</f>
        <v>0</v>
      </c>
      <c r="D43" s="41">
        <f>REGISTRO_B.DATOS!D44</f>
        <v>0</v>
      </c>
      <c r="E43" s="42">
        <f>REGISTRO_B.DATOS!E44</f>
        <v>0</v>
      </c>
      <c r="F43" s="41">
        <f>REGISTRO_B.DATOS!F44</f>
        <v>0</v>
      </c>
      <c r="G43" s="41">
        <f>REGISTRO_B.DATOS!G44</f>
        <v>0</v>
      </c>
      <c r="H43" s="41">
        <f>REGISTRO_B.DATOS!H44</f>
        <v>0</v>
      </c>
      <c r="I43" s="41">
        <f>REGISTRO_B.DATOS!I44</f>
        <v>0</v>
      </c>
      <c r="J43" s="41">
        <f>REGISTRO_B.DATOS!J44</f>
        <v>0</v>
      </c>
      <c r="K43" s="43">
        <f>REGISTRO_B.DATOS!K44</f>
        <v>0</v>
      </c>
    </row>
    <row r="44" spans="1:11" x14ac:dyDescent="0.25">
      <c r="A44" s="40">
        <f>REGISTRO_B.DATOS!A45</f>
        <v>0</v>
      </c>
      <c r="B44" s="41">
        <f>REGISTRO_B.DATOS!B45</f>
        <v>0</v>
      </c>
      <c r="C44" s="41">
        <f>REGISTRO_B.DATOS!C45</f>
        <v>0</v>
      </c>
      <c r="D44" s="41">
        <f>REGISTRO_B.DATOS!D45</f>
        <v>0</v>
      </c>
      <c r="E44" s="42">
        <f>REGISTRO_B.DATOS!E45</f>
        <v>0</v>
      </c>
      <c r="F44" s="41">
        <f>REGISTRO_B.DATOS!F45</f>
        <v>0</v>
      </c>
      <c r="G44" s="41">
        <f>REGISTRO_B.DATOS!G45</f>
        <v>0</v>
      </c>
      <c r="H44" s="41">
        <f>REGISTRO_B.DATOS!H45</f>
        <v>0</v>
      </c>
      <c r="I44" s="41">
        <f>REGISTRO_B.DATOS!I45</f>
        <v>0</v>
      </c>
      <c r="J44" s="41">
        <f>REGISTRO_B.DATOS!J45</f>
        <v>0</v>
      </c>
      <c r="K44" s="43">
        <f>REGISTRO_B.DATOS!K45</f>
        <v>0</v>
      </c>
    </row>
    <row r="45" spans="1:11" x14ac:dyDescent="0.25">
      <c r="A45" s="40">
        <f>REGISTRO_B.DATOS!A46</f>
        <v>0</v>
      </c>
      <c r="B45" s="41">
        <f>REGISTRO_B.DATOS!B46</f>
        <v>0</v>
      </c>
      <c r="C45" s="41">
        <f>REGISTRO_B.DATOS!C46</f>
        <v>0</v>
      </c>
      <c r="D45" s="41">
        <f>REGISTRO_B.DATOS!D46</f>
        <v>0</v>
      </c>
      <c r="E45" s="42">
        <f>REGISTRO_B.DATOS!E46</f>
        <v>0</v>
      </c>
      <c r="F45" s="41">
        <f>REGISTRO_B.DATOS!F46</f>
        <v>0</v>
      </c>
      <c r="G45" s="41">
        <f>REGISTRO_B.DATOS!G46</f>
        <v>0</v>
      </c>
      <c r="H45" s="41">
        <f>REGISTRO_B.DATOS!H46</f>
        <v>0</v>
      </c>
      <c r="I45" s="41">
        <f>REGISTRO_B.DATOS!I46</f>
        <v>0</v>
      </c>
      <c r="J45" s="41">
        <f>REGISTRO_B.DATOS!J46</f>
        <v>0</v>
      </c>
      <c r="K45" s="43">
        <f>REGISTRO_B.DATOS!K46</f>
        <v>0</v>
      </c>
    </row>
    <row r="46" spans="1:11" x14ac:dyDescent="0.25">
      <c r="A46" s="40">
        <f>REGISTRO_B.DATOS!A47</f>
        <v>0</v>
      </c>
      <c r="B46" s="41">
        <f>REGISTRO_B.DATOS!B47</f>
        <v>0</v>
      </c>
      <c r="C46" s="41">
        <f>REGISTRO_B.DATOS!C47</f>
        <v>0</v>
      </c>
      <c r="D46" s="41">
        <f>REGISTRO_B.DATOS!D47</f>
        <v>0</v>
      </c>
      <c r="E46" s="42">
        <f>REGISTRO_B.DATOS!E47</f>
        <v>0</v>
      </c>
      <c r="F46" s="41">
        <f>REGISTRO_B.DATOS!F47</f>
        <v>0</v>
      </c>
      <c r="G46" s="41">
        <f>REGISTRO_B.DATOS!G47</f>
        <v>0</v>
      </c>
      <c r="H46" s="41">
        <f>REGISTRO_B.DATOS!H47</f>
        <v>0</v>
      </c>
      <c r="I46" s="41">
        <f>REGISTRO_B.DATOS!I47</f>
        <v>0</v>
      </c>
      <c r="J46" s="41">
        <f>REGISTRO_B.DATOS!J47</f>
        <v>0</v>
      </c>
      <c r="K46" s="43">
        <f>REGISTRO_B.DATOS!K47</f>
        <v>0</v>
      </c>
    </row>
    <row r="47" spans="1:11" x14ac:dyDescent="0.25">
      <c r="A47" s="40">
        <f>REGISTRO_B.DATOS!A48</f>
        <v>0</v>
      </c>
      <c r="B47" s="41">
        <f>REGISTRO_B.DATOS!B48</f>
        <v>0</v>
      </c>
      <c r="C47" s="41">
        <f>REGISTRO_B.DATOS!C48</f>
        <v>0</v>
      </c>
      <c r="D47" s="41">
        <f>REGISTRO_B.DATOS!D48</f>
        <v>0</v>
      </c>
      <c r="E47" s="42">
        <f>REGISTRO_B.DATOS!E48</f>
        <v>0</v>
      </c>
      <c r="F47" s="41">
        <f>REGISTRO_B.DATOS!F48</f>
        <v>0</v>
      </c>
      <c r="G47" s="41">
        <f>REGISTRO_B.DATOS!G48</f>
        <v>0</v>
      </c>
      <c r="H47" s="41">
        <f>REGISTRO_B.DATOS!H48</f>
        <v>0</v>
      </c>
      <c r="I47" s="41">
        <f>REGISTRO_B.DATOS!I48</f>
        <v>0</v>
      </c>
      <c r="J47" s="41">
        <f>REGISTRO_B.DATOS!J48</f>
        <v>0</v>
      </c>
      <c r="K47" s="43">
        <f>REGISTRO_B.DATOS!K48</f>
        <v>0</v>
      </c>
    </row>
    <row r="48" spans="1:11" x14ac:dyDescent="0.25">
      <c r="A48" s="40">
        <f>REGISTRO_B.DATOS!A49</f>
        <v>0</v>
      </c>
      <c r="B48" s="41">
        <f>REGISTRO_B.DATOS!B49</f>
        <v>0</v>
      </c>
      <c r="C48" s="41">
        <f>REGISTRO_B.DATOS!C49</f>
        <v>0</v>
      </c>
      <c r="D48" s="41">
        <f>REGISTRO_B.DATOS!D49</f>
        <v>0</v>
      </c>
      <c r="E48" s="42">
        <f>REGISTRO_B.DATOS!E49</f>
        <v>0</v>
      </c>
      <c r="F48" s="41">
        <f>REGISTRO_B.DATOS!F49</f>
        <v>0</v>
      </c>
      <c r="G48" s="41">
        <f>REGISTRO_B.DATOS!G49</f>
        <v>0</v>
      </c>
      <c r="H48" s="41">
        <f>REGISTRO_B.DATOS!H49</f>
        <v>0</v>
      </c>
      <c r="I48" s="41">
        <f>REGISTRO_B.DATOS!I49</f>
        <v>0</v>
      </c>
      <c r="J48" s="41">
        <f>REGISTRO_B.DATOS!J49</f>
        <v>0</v>
      </c>
      <c r="K48" s="43">
        <f>REGISTRO_B.DATOS!K49</f>
        <v>0</v>
      </c>
    </row>
    <row r="49" spans="1:11" x14ac:dyDescent="0.25">
      <c r="A49" s="40">
        <f>REGISTRO_B.DATOS!A50</f>
        <v>0</v>
      </c>
      <c r="B49" s="41">
        <f>REGISTRO_B.DATOS!B50</f>
        <v>0</v>
      </c>
      <c r="C49" s="41">
        <f>REGISTRO_B.DATOS!C50</f>
        <v>0</v>
      </c>
      <c r="D49" s="41">
        <f>REGISTRO_B.DATOS!D50</f>
        <v>0</v>
      </c>
      <c r="E49" s="42">
        <f>REGISTRO_B.DATOS!E50</f>
        <v>0</v>
      </c>
      <c r="F49" s="41">
        <f>REGISTRO_B.DATOS!F50</f>
        <v>0</v>
      </c>
      <c r="G49" s="41">
        <f>REGISTRO_B.DATOS!G50</f>
        <v>0</v>
      </c>
      <c r="H49" s="41">
        <f>REGISTRO_B.DATOS!H50</f>
        <v>0</v>
      </c>
      <c r="I49" s="41">
        <f>REGISTRO_B.DATOS!I50</f>
        <v>0</v>
      </c>
      <c r="J49" s="41">
        <f>REGISTRO_B.DATOS!J50</f>
        <v>0</v>
      </c>
      <c r="K49" s="43">
        <f>REGISTRO_B.DATOS!K50</f>
        <v>0</v>
      </c>
    </row>
    <row r="50" spans="1:11" x14ac:dyDescent="0.25">
      <c r="A50" s="40">
        <f>REGISTRO_B.DATOS!A51</f>
        <v>0</v>
      </c>
      <c r="B50" s="41">
        <f>REGISTRO_B.DATOS!B51</f>
        <v>0</v>
      </c>
      <c r="C50" s="41">
        <f>REGISTRO_B.DATOS!C51</f>
        <v>0</v>
      </c>
      <c r="D50" s="41">
        <f>REGISTRO_B.DATOS!D51</f>
        <v>0</v>
      </c>
      <c r="E50" s="42">
        <f>REGISTRO_B.DATOS!E51</f>
        <v>0</v>
      </c>
      <c r="F50" s="41">
        <f>REGISTRO_B.DATOS!F51</f>
        <v>0</v>
      </c>
      <c r="G50" s="41">
        <f>REGISTRO_B.DATOS!G51</f>
        <v>0</v>
      </c>
      <c r="H50" s="41">
        <f>REGISTRO_B.DATOS!H51</f>
        <v>0</v>
      </c>
      <c r="I50" s="41">
        <f>REGISTRO_B.DATOS!I51</f>
        <v>0</v>
      </c>
      <c r="J50" s="41">
        <f>REGISTRO_B.DATOS!J51</f>
        <v>0</v>
      </c>
      <c r="K50" s="43">
        <f>REGISTRO_B.DATOS!K51</f>
        <v>0</v>
      </c>
    </row>
    <row r="51" spans="1:11" x14ac:dyDescent="0.25">
      <c r="A51" s="40">
        <f>REGISTRO_B.DATOS!A52</f>
        <v>0</v>
      </c>
      <c r="B51" s="41">
        <f>REGISTRO_B.DATOS!B52</f>
        <v>0</v>
      </c>
      <c r="C51" s="41">
        <f>REGISTRO_B.DATOS!C52</f>
        <v>0</v>
      </c>
      <c r="D51" s="41">
        <f>REGISTRO_B.DATOS!D52</f>
        <v>0</v>
      </c>
      <c r="E51" s="42">
        <f>REGISTRO_B.DATOS!E52</f>
        <v>0</v>
      </c>
      <c r="F51" s="41">
        <f>REGISTRO_B.DATOS!F52</f>
        <v>0</v>
      </c>
      <c r="G51" s="41">
        <f>REGISTRO_B.DATOS!G52</f>
        <v>0</v>
      </c>
      <c r="H51" s="41">
        <f>REGISTRO_B.DATOS!H52</f>
        <v>0</v>
      </c>
      <c r="I51" s="41">
        <f>REGISTRO_B.DATOS!I52</f>
        <v>0</v>
      </c>
      <c r="J51" s="41">
        <f>REGISTRO_B.DATOS!J52</f>
        <v>0</v>
      </c>
      <c r="K51" s="43">
        <f>REGISTRO_B.DATOS!K52</f>
        <v>0</v>
      </c>
    </row>
    <row r="52" spans="1:11" x14ac:dyDescent="0.25">
      <c r="A52" s="40">
        <f>REGISTRO_B.DATOS!A53</f>
        <v>0</v>
      </c>
      <c r="B52" s="41">
        <f>REGISTRO_B.DATOS!B53</f>
        <v>0</v>
      </c>
      <c r="C52" s="41">
        <f>REGISTRO_B.DATOS!C53</f>
        <v>0</v>
      </c>
      <c r="D52" s="41">
        <f>REGISTRO_B.DATOS!D53</f>
        <v>0</v>
      </c>
      <c r="E52" s="42">
        <f>REGISTRO_B.DATOS!E53</f>
        <v>0</v>
      </c>
      <c r="F52" s="41">
        <f>REGISTRO_B.DATOS!F53</f>
        <v>0</v>
      </c>
      <c r="G52" s="41">
        <f>REGISTRO_B.DATOS!G53</f>
        <v>0</v>
      </c>
      <c r="H52" s="41">
        <f>REGISTRO_B.DATOS!H53</f>
        <v>0</v>
      </c>
      <c r="I52" s="41">
        <f>REGISTRO_B.DATOS!I53</f>
        <v>0</v>
      </c>
      <c r="J52" s="41">
        <f>REGISTRO_B.DATOS!J53</f>
        <v>0</v>
      </c>
      <c r="K52" s="43">
        <f>REGISTRO_B.DATOS!K53</f>
        <v>0</v>
      </c>
    </row>
    <row r="53" spans="1:11" x14ac:dyDescent="0.25">
      <c r="A53" s="40">
        <f>REGISTRO_B.DATOS!A54</f>
        <v>0</v>
      </c>
      <c r="B53" s="41">
        <f>REGISTRO_B.DATOS!B54</f>
        <v>0</v>
      </c>
      <c r="C53" s="41">
        <f>REGISTRO_B.DATOS!C54</f>
        <v>0</v>
      </c>
      <c r="D53" s="41">
        <f>REGISTRO_B.DATOS!D54</f>
        <v>0</v>
      </c>
      <c r="E53" s="42">
        <f>REGISTRO_B.DATOS!E54</f>
        <v>0</v>
      </c>
      <c r="F53" s="41">
        <f>REGISTRO_B.DATOS!F54</f>
        <v>0</v>
      </c>
      <c r="G53" s="41">
        <f>REGISTRO_B.DATOS!G54</f>
        <v>0</v>
      </c>
      <c r="H53" s="41">
        <f>REGISTRO_B.DATOS!H54</f>
        <v>0</v>
      </c>
      <c r="I53" s="41">
        <f>REGISTRO_B.DATOS!I54</f>
        <v>0</v>
      </c>
      <c r="J53" s="41">
        <f>REGISTRO_B.DATOS!J54</f>
        <v>0</v>
      </c>
      <c r="K53" s="43">
        <f>REGISTRO_B.DATOS!K54</f>
        <v>0</v>
      </c>
    </row>
    <row r="54" spans="1:11" x14ac:dyDescent="0.25">
      <c r="A54" s="40">
        <f>REGISTRO_B.DATOS!A55</f>
        <v>0</v>
      </c>
      <c r="B54" s="41">
        <f>REGISTRO_B.DATOS!B55</f>
        <v>0</v>
      </c>
      <c r="C54" s="41">
        <f>REGISTRO_B.DATOS!C55</f>
        <v>0</v>
      </c>
      <c r="D54" s="41">
        <f>REGISTRO_B.DATOS!D55</f>
        <v>0</v>
      </c>
      <c r="E54" s="42">
        <f>REGISTRO_B.DATOS!E55</f>
        <v>0</v>
      </c>
      <c r="F54" s="41">
        <f>REGISTRO_B.DATOS!F55</f>
        <v>0</v>
      </c>
      <c r="G54" s="41">
        <f>REGISTRO_B.DATOS!G55</f>
        <v>0</v>
      </c>
      <c r="H54" s="41">
        <f>REGISTRO_B.DATOS!H55</f>
        <v>0</v>
      </c>
      <c r="I54" s="41">
        <f>REGISTRO_B.DATOS!I55</f>
        <v>0</v>
      </c>
      <c r="J54" s="41">
        <f>REGISTRO_B.DATOS!J55</f>
        <v>0</v>
      </c>
      <c r="K54" s="43">
        <f>REGISTRO_B.DATOS!K55</f>
        <v>0</v>
      </c>
    </row>
    <row r="55" spans="1:11" x14ac:dyDescent="0.25">
      <c r="A55" s="40">
        <f>REGISTRO_B.DATOS!A56</f>
        <v>0</v>
      </c>
      <c r="B55" s="41">
        <f>REGISTRO_B.DATOS!B56</f>
        <v>0</v>
      </c>
      <c r="C55" s="41">
        <f>REGISTRO_B.DATOS!C56</f>
        <v>0</v>
      </c>
      <c r="D55" s="41">
        <f>REGISTRO_B.DATOS!D56</f>
        <v>0</v>
      </c>
      <c r="E55" s="42">
        <f>REGISTRO_B.DATOS!E56</f>
        <v>0</v>
      </c>
      <c r="F55" s="41">
        <f>REGISTRO_B.DATOS!F56</f>
        <v>0</v>
      </c>
      <c r="G55" s="41">
        <f>REGISTRO_B.DATOS!G56</f>
        <v>0</v>
      </c>
      <c r="H55" s="41">
        <f>REGISTRO_B.DATOS!H56</f>
        <v>0</v>
      </c>
      <c r="I55" s="41">
        <f>REGISTRO_B.DATOS!I56</f>
        <v>0</v>
      </c>
      <c r="J55" s="41">
        <f>REGISTRO_B.DATOS!J56</f>
        <v>0</v>
      </c>
      <c r="K55" s="43">
        <f>REGISTRO_B.DATOS!K56</f>
        <v>0</v>
      </c>
    </row>
    <row r="56" spans="1:11" x14ac:dyDescent="0.25">
      <c r="A56" s="40">
        <f>REGISTRO_B.DATOS!A57</f>
        <v>0</v>
      </c>
      <c r="B56" s="41">
        <f>REGISTRO_B.DATOS!B57</f>
        <v>0</v>
      </c>
      <c r="C56" s="41">
        <f>REGISTRO_B.DATOS!C57</f>
        <v>0</v>
      </c>
      <c r="D56" s="41">
        <f>REGISTRO_B.DATOS!D57</f>
        <v>0</v>
      </c>
      <c r="E56" s="42">
        <f>REGISTRO_B.DATOS!E57</f>
        <v>0</v>
      </c>
      <c r="F56" s="41">
        <f>REGISTRO_B.DATOS!F57</f>
        <v>0</v>
      </c>
      <c r="G56" s="41">
        <f>REGISTRO_B.DATOS!G57</f>
        <v>0</v>
      </c>
      <c r="H56" s="41">
        <f>REGISTRO_B.DATOS!H57</f>
        <v>0</v>
      </c>
      <c r="I56" s="41">
        <f>REGISTRO_B.DATOS!I57</f>
        <v>0</v>
      </c>
      <c r="J56" s="41">
        <f>REGISTRO_B.DATOS!J57</f>
        <v>0</v>
      </c>
      <c r="K56" s="43">
        <f>REGISTRO_B.DATOS!K57</f>
        <v>0</v>
      </c>
    </row>
    <row r="57" spans="1:11" x14ac:dyDescent="0.25">
      <c r="A57" s="40">
        <f>REGISTRO_B.DATOS!A58</f>
        <v>0</v>
      </c>
      <c r="B57" s="41">
        <f>REGISTRO_B.DATOS!B58</f>
        <v>0</v>
      </c>
      <c r="C57" s="41">
        <f>REGISTRO_B.DATOS!C58</f>
        <v>0</v>
      </c>
      <c r="D57" s="41">
        <f>REGISTRO_B.DATOS!D58</f>
        <v>0</v>
      </c>
      <c r="E57" s="42">
        <f>REGISTRO_B.DATOS!E58</f>
        <v>0</v>
      </c>
      <c r="F57" s="41">
        <f>REGISTRO_B.DATOS!F58</f>
        <v>0</v>
      </c>
      <c r="G57" s="41">
        <f>REGISTRO_B.DATOS!G58</f>
        <v>0</v>
      </c>
      <c r="H57" s="41">
        <f>REGISTRO_B.DATOS!H58</f>
        <v>0</v>
      </c>
      <c r="I57" s="41">
        <f>REGISTRO_B.DATOS!I58</f>
        <v>0</v>
      </c>
      <c r="J57" s="41">
        <f>REGISTRO_B.DATOS!J58</f>
        <v>0</v>
      </c>
      <c r="K57" s="43">
        <f>REGISTRO_B.DATOS!K58</f>
        <v>0</v>
      </c>
    </row>
    <row r="58" spans="1:11" x14ac:dyDescent="0.25">
      <c r="A58" s="40">
        <f>REGISTRO_B.DATOS!A59</f>
        <v>0</v>
      </c>
      <c r="B58" s="41">
        <f>REGISTRO_B.DATOS!B59</f>
        <v>0</v>
      </c>
      <c r="C58" s="41">
        <f>REGISTRO_B.DATOS!C59</f>
        <v>0</v>
      </c>
      <c r="D58" s="41">
        <f>REGISTRO_B.DATOS!D59</f>
        <v>0</v>
      </c>
      <c r="E58" s="42">
        <f>REGISTRO_B.DATOS!E59</f>
        <v>0</v>
      </c>
      <c r="F58" s="41">
        <f>REGISTRO_B.DATOS!F59</f>
        <v>0</v>
      </c>
      <c r="G58" s="41">
        <f>REGISTRO_B.DATOS!G59</f>
        <v>0</v>
      </c>
      <c r="H58" s="41">
        <f>REGISTRO_B.DATOS!H59</f>
        <v>0</v>
      </c>
      <c r="I58" s="41">
        <f>REGISTRO_B.DATOS!I59</f>
        <v>0</v>
      </c>
      <c r="J58" s="41">
        <f>REGISTRO_B.DATOS!J59</f>
        <v>0</v>
      </c>
      <c r="K58" s="43">
        <f>REGISTRO_B.DATOS!K59</f>
        <v>0</v>
      </c>
    </row>
    <row r="59" spans="1:11" x14ac:dyDescent="0.25">
      <c r="A59" s="40">
        <f>REGISTRO_B.DATOS!A60</f>
        <v>0</v>
      </c>
      <c r="B59" s="41">
        <f>REGISTRO_B.DATOS!B60</f>
        <v>0</v>
      </c>
      <c r="C59" s="41">
        <f>REGISTRO_B.DATOS!C60</f>
        <v>0</v>
      </c>
      <c r="D59" s="41">
        <f>REGISTRO_B.DATOS!D60</f>
        <v>0</v>
      </c>
      <c r="E59" s="42">
        <f>REGISTRO_B.DATOS!E60</f>
        <v>0</v>
      </c>
      <c r="F59" s="41">
        <f>REGISTRO_B.DATOS!F60</f>
        <v>0</v>
      </c>
      <c r="G59" s="41">
        <f>REGISTRO_B.DATOS!G60</f>
        <v>0</v>
      </c>
      <c r="H59" s="41">
        <f>REGISTRO_B.DATOS!H60</f>
        <v>0</v>
      </c>
      <c r="I59" s="41">
        <f>REGISTRO_B.DATOS!I60</f>
        <v>0</v>
      </c>
      <c r="J59" s="41">
        <f>REGISTRO_B.DATOS!J60</f>
        <v>0</v>
      </c>
      <c r="K59" s="43">
        <f>REGISTRO_B.DATOS!K60</f>
        <v>0</v>
      </c>
    </row>
    <row r="60" spans="1:11" x14ac:dyDescent="0.25">
      <c r="A60" s="40">
        <f>REGISTRO_B.DATOS!A61</f>
        <v>0</v>
      </c>
      <c r="B60" s="41">
        <f>REGISTRO_B.DATOS!B61</f>
        <v>0</v>
      </c>
      <c r="C60" s="41">
        <f>REGISTRO_B.DATOS!C61</f>
        <v>0</v>
      </c>
      <c r="D60" s="41">
        <f>REGISTRO_B.DATOS!D61</f>
        <v>0</v>
      </c>
      <c r="E60" s="42">
        <f>REGISTRO_B.DATOS!E61</f>
        <v>0</v>
      </c>
      <c r="F60" s="41">
        <f>REGISTRO_B.DATOS!F61</f>
        <v>0</v>
      </c>
      <c r="G60" s="41">
        <f>REGISTRO_B.DATOS!G61</f>
        <v>0</v>
      </c>
      <c r="H60" s="41">
        <f>REGISTRO_B.DATOS!H61</f>
        <v>0</v>
      </c>
      <c r="I60" s="41">
        <f>REGISTRO_B.DATOS!I61</f>
        <v>0</v>
      </c>
      <c r="J60" s="41">
        <f>REGISTRO_B.DATOS!J61</f>
        <v>0</v>
      </c>
      <c r="K60" s="43">
        <f>REGISTRO_B.DATOS!K61</f>
        <v>0</v>
      </c>
    </row>
    <row r="61" spans="1:11" x14ac:dyDescent="0.25">
      <c r="A61" s="40">
        <f>REGISTRO_B.DATOS!A62</f>
        <v>0</v>
      </c>
      <c r="B61" s="41">
        <f>REGISTRO_B.DATOS!B62</f>
        <v>0</v>
      </c>
      <c r="C61" s="41">
        <f>REGISTRO_B.DATOS!C62</f>
        <v>0</v>
      </c>
      <c r="D61" s="41">
        <f>REGISTRO_B.DATOS!D62</f>
        <v>0</v>
      </c>
      <c r="E61" s="42">
        <f>REGISTRO_B.DATOS!E62</f>
        <v>0</v>
      </c>
      <c r="F61" s="41">
        <f>REGISTRO_B.DATOS!F62</f>
        <v>0</v>
      </c>
      <c r="G61" s="41">
        <f>REGISTRO_B.DATOS!G62</f>
        <v>0</v>
      </c>
      <c r="H61" s="41">
        <f>REGISTRO_B.DATOS!H62</f>
        <v>0</v>
      </c>
      <c r="I61" s="41">
        <f>REGISTRO_B.DATOS!I62</f>
        <v>0</v>
      </c>
      <c r="J61" s="41">
        <f>REGISTRO_B.DATOS!J62</f>
        <v>0</v>
      </c>
      <c r="K61" s="43">
        <f>REGISTRO_B.DATOS!K62</f>
        <v>0</v>
      </c>
    </row>
    <row r="62" spans="1:11" x14ac:dyDescent="0.25">
      <c r="A62" s="40">
        <f>REGISTRO_B.DATOS!A63</f>
        <v>0</v>
      </c>
      <c r="B62" s="41">
        <f>REGISTRO_B.DATOS!B63</f>
        <v>0</v>
      </c>
      <c r="C62" s="41">
        <f>REGISTRO_B.DATOS!C63</f>
        <v>0</v>
      </c>
      <c r="D62" s="41">
        <f>REGISTRO_B.DATOS!D63</f>
        <v>0</v>
      </c>
      <c r="E62" s="42">
        <f>REGISTRO_B.DATOS!E63</f>
        <v>0</v>
      </c>
      <c r="F62" s="41">
        <f>REGISTRO_B.DATOS!F63</f>
        <v>0</v>
      </c>
      <c r="G62" s="41">
        <f>REGISTRO_B.DATOS!G63</f>
        <v>0</v>
      </c>
      <c r="H62" s="41">
        <f>REGISTRO_B.DATOS!H63</f>
        <v>0</v>
      </c>
      <c r="I62" s="41">
        <f>REGISTRO_B.DATOS!I63</f>
        <v>0</v>
      </c>
      <c r="J62" s="41">
        <f>REGISTRO_B.DATOS!J63</f>
        <v>0</v>
      </c>
      <c r="K62" s="43">
        <f>REGISTRO_B.DATOS!K63</f>
        <v>0</v>
      </c>
    </row>
    <row r="63" spans="1:11" x14ac:dyDescent="0.25">
      <c r="A63" s="40">
        <f>REGISTRO_B.DATOS!A64</f>
        <v>0</v>
      </c>
      <c r="B63" s="41">
        <f>REGISTRO_B.DATOS!B64</f>
        <v>0</v>
      </c>
      <c r="C63" s="41">
        <f>REGISTRO_B.DATOS!C64</f>
        <v>0</v>
      </c>
      <c r="D63" s="41">
        <f>REGISTRO_B.DATOS!D64</f>
        <v>0</v>
      </c>
      <c r="E63" s="42">
        <f>REGISTRO_B.DATOS!E64</f>
        <v>0</v>
      </c>
      <c r="F63" s="41">
        <f>REGISTRO_B.DATOS!F64</f>
        <v>0</v>
      </c>
      <c r="G63" s="41">
        <f>REGISTRO_B.DATOS!G64</f>
        <v>0</v>
      </c>
      <c r="H63" s="41">
        <f>REGISTRO_B.DATOS!H64</f>
        <v>0</v>
      </c>
      <c r="I63" s="41">
        <f>REGISTRO_B.DATOS!I64</f>
        <v>0</v>
      </c>
      <c r="J63" s="41">
        <f>REGISTRO_B.DATOS!J64</f>
        <v>0</v>
      </c>
      <c r="K63" s="43">
        <f>REGISTRO_B.DATOS!K64</f>
        <v>0</v>
      </c>
    </row>
    <row r="64" spans="1:11" x14ac:dyDescent="0.25">
      <c r="A64" s="40">
        <f>REGISTRO_B.DATOS!A65</f>
        <v>0</v>
      </c>
      <c r="B64" s="41">
        <f>REGISTRO_B.DATOS!B65</f>
        <v>0</v>
      </c>
      <c r="C64" s="41">
        <f>REGISTRO_B.DATOS!C65</f>
        <v>0</v>
      </c>
      <c r="D64" s="41">
        <f>REGISTRO_B.DATOS!D65</f>
        <v>0</v>
      </c>
      <c r="E64" s="42">
        <f>REGISTRO_B.DATOS!E65</f>
        <v>0</v>
      </c>
      <c r="F64" s="41">
        <f>REGISTRO_B.DATOS!F65</f>
        <v>0</v>
      </c>
      <c r="G64" s="41">
        <f>REGISTRO_B.DATOS!G65</f>
        <v>0</v>
      </c>
      <c r="H64" s="41">
        <f>REGISTRO_B.DATOS!H65</f>
        <v>0</v>
      </c>
      <c r="I64" s="41">
        <f>REGISTRO_B.DATOS!I65</f>
        <v>0</v>
      </c>
      <c r="J64" s="41">
        <f>REGISTRO_B.DATOS!J65</f>
        <v>0</v>
      </c>
      <c r="K64" s="43">
        <f>REGISTRO_B.DATOS!K65</f>
        <v>0</v>
      </c>
    </row>
    <row r="65" spans="1:11" x14ac:dyDescent="0.25">
      <c r="A65" s="40">
        <f>REGISTRO_B.DATOS!A66</f>
        <v>0</v>
      </c>
      <c r="B65" s="41">
        <f>REGISTRO_B.DATOS!B66</f>
        <v>0</v>
      </c>
      <c r="C65" s="41">
        <f>REGISTRO_B.DATOS!C66</f>
        <v>0</v>
      </c>
      <c r="D65" s="41">
        <f>REGISTRO_B.DATOS!D66</f>
        <v>0</v>
      </c>
      <c r="E65" s="42">
        <f>REGISTRO_B.DATOS!E66</f>
        <v>0</v>
      </c>
      <c r="F65" s="41">
        <f>REGISTRO_B.DATOS!F66</f>
        <v>0</v>
      </c>
      <c r="G65" s="41">
        <f>REGISTRO_B.DATOS!G66</f>
        <v>0</v>
      </c>
      <c r="H65" s="41">
        <f>REGISTRO_B.DATOS!H66</f>
        <v>0</v>
      </c>
      <c r="I65" s="41">
        <f>REGISTRO_B.DATOS!I66</f>
        <v>0</v>
      </c>
      <c r="J65" s="41">
        <f>REGISTRO_B.DATOS!J66</f>
        <v>0</v>
      </c>
      <c r="K65" s="43">
        <f>REGISTRO_B.DATOS!K66</f>
        <v>0</v>
      </c>
    </row>
    <row r="66" spans="1:11" x14ac:dyDescent="0.25">
      <c r="A66" s="40">
        <f>REGISTRO_B.DATOS!A67</f>
        <v>0</v>
      </c>
      <c r="B66" s="41">
        <f>REGISTRO_B.DATOS!B67</f>
        <v>0</v>
      </c>
      <c r="C66" s="41">
        <f>REGISTRO_B.DATOS!C67</f>
        <v>0</v>
      </c>
      <c r="D66" s="41">
        <f>REGISTRO_B.DATOS!D67</f>
        <v>0</v>
      </c>
      <c r="E66" s="42">
        <f>REGISTRO_B.DATOS!E67</f>
        <v>0</v>
      </c>
      <c r="F66" s="41">
        <f>REGISTRO_B.DATOS!F67</f>
        <v>0</v>
      </c>
      <c r="G66" s="41">
        <f>REGISTRO_B.DATOS!G67</f>
        <v>0</v>
      </c>
      <c r="H66" s="41">
        <f>REGISTRO_B.DATOS!H67</f>
        <v>0</v>
      </c>
      <c r="I66" s="41">
        <f>REGISTRO_B.DATOS!I67</f>
        <v>0</v>
      </c>
      <c r="J66" s="41">
        <f>REGISTRO_B.DATOS!J67</f>
        <v>0</v>
      </c>
      <c r="K66" s="43">
        <f>REGISTRO_B.DATOS!K67</f>
        <v>0</v>
      </c>
    </row>
    <row r="67" spans="1:11" x14ac:dyDescent="0.25">
      <c r="A67" s="40">
        <f>REGISTRO_B.DATOS!A68</f>
        <v>0</v>
      </c>
      <c r="B67" s="41">
        <f>REGISTRO_B.DATOS!B68</f>
        <v>0</v>
      </c>
      <c r="C67" s="41">
        <f>REGISTRO_B.DATOS!C68</f>
        <v>0</v>
      </c>
      <c r="D67" s="41">
        <f>REGISTRO_B.DATOS!D68</f>
        <v>0</v>
      </c>
      <c r="E67" s="42">
        <f>REGISTRO_B.DATOS!E68</f>
        <v>0</v>
      </c>
      <c r="F67" s="41">
        <f>REGISTRO_B.DATOS!F68</f>
        <v>0</v>
      </c>
      <c r="G67" s="41">
        <f>REGISTRO_B.DATOS!G68</f>
        <v>0</v>
      </c>
      <c r="H67" s="41">
        <f>REGISTRO_B.DATOS!H68</f>
        <v>0</v>
      </c>
      <c r="I67" s="41">
        <f>REGISTRO_B.DATOS!I68</f>
        <v>0</v>
      </c>
      <c r="J67" s="41">
        <f>REGISTRO_B.DATOS!J68</f>
        <v>0</v>
      </c>
      <c r="K67" s="43">
        <f>REGISTRO_B.DATOS!K68</f>
        <v>0</v>
      </c>
    </row>
    <row r="68" spans="1:11" x14ac:dyDescent="0.25">
      <c r="A68" s="40">
        <f>REGISTRO_B.DATOS!A69</f>
        <v>0</v>
      </c>
      <c r="B68" s="41">
        <f>REGISTRO_B.DATOS!B69</f>
        <v>0</v>
      </c>
      <c r="C68" s="41">
        <f>REGISTRO_B.DATOS!C69</f>
        <v>0</v>
      </c>
      <c r="D68" s="41">
        <f>REGISTRO_B.DATOS!D69</f>
        <v>0</v>
      </c>
      <c r="E68" s="42">
        <f>REGISTRO_B.DATOS!E69</f>
        <v>0</v>
      </c>
      <c r="F68" s="41">
        <f>REGISTRO_B.DATOS!F69</f>
        <v>0</v>
      </c>
      <c r="G68" s="41">
        <f>REGISTRO_B.DATOS!G69</f>
        <v>0</v>
      </c>
      <c r="H68" s="41">
        <f>REGISTRO_B.DATOS!H69</f>
        <v>0</v>
      </c>
      <c r="I68" s="41">
        <f>REGISTRO_B.DATOS!I69</f>
        <v>0</v>
      </c>
      <c r="J68" s="41">
        <f>REGISTRO_B.DATOS!J69</f>
        <v>0</v>
      </c>
      <c r="K68" s="43">
        <f>REGISTRO_B.DATOS!K69</f>
        <v>0</v>
      </c>
    </row>
    <row r="69" spans="1:11" x14ac:dyDescent="0.25">
      <c r="A69" s="40">
        <f>REGISTRO_B.DATOS!A70</f>
        <v>0</v>
      </c>
      <c r="B69" s="41">
        <f>REGISTRO_B.DATOS!B70</f>
        <v>0</v>
      </c>
      <c r="C69" s="41">
        <f>REGISTRO_B.DATOS!C70</f>
        <v>0</v>
      </c>
      <c r="D69" s="41">
        <f>REGISTRO_B.DATOS!D70</f>
        <v>0</v>
      </c>
      <c r="E69" s="42">
        <f>REGISTRO_B.DATOS!E70</f>
        <v>0</v>
      </c>
      <c r="F69" s="41">
        <f>REGISTRO_B.DATOS!F70</f>
        <v>0</v>
      </c>
      <c r="G69" s="41">
        <f>REGISTRO_B.DATOS!G70</f>
        <v>0</v>
      </c>
      <c r="H69" s="41">
        <f>REGISTRO_B.DATOS!H70</f>
        <v>0</v>
      </c>
      <c r="I69" s="41">
        <f>REGISTRO_B.DATOS!I70</f>
        <v>0</v>
      </c>
      <c r="J69" s="41">
        <f>REGISTRO_B.DATOS!J70</f>
        <v>0</v>
      </c>
      <c r="K69" s="43">
        <f>REGISTRO_B.DATOS!K70</f>
        <v>0</v>
      </c>
    </row>
    <row r="70" spans="1:11" x14ac:dyDescent="0.25">
      <c r="A70" s="40">
        <f>REGISTRO_B.DATOS!A71</f>
        <v>0</v>
      </c>
      <c r="B70" s="41">
        <f>REGISTRO_B.DATOS!B71</f>
        <v>0</v>
      </c>
      <c r="C70" s="41">
        <f>REGISTRO_B.DATOS!C71</f>
        <v>0</v>
      </c>
      <c r="D70" s="41">
        <f>REGISTRO_B.DATOS!D71</f>
        <v>0</v>
      </c>
      <c r="E70" s="42">
        <f>REGISTRO_B.DATOS!E71</f>
        <v>0</v>
      </c>
      <c r="F70" s="41">
        <f>REGISTRO_B.DATOS!F71</f>
        <v>0</v>
      </c>
      <c r="G70" s="41">
        <f>REGISTRO_B.DATOS!G71</f>
        <v>0</v>
      </c>
      <c r="H70" s="41">
        <f>REGISTRO_B.DATOS!H71</f>
        <v>0</v>
      </c>
      <c r="I70" s="41">
        <f>REGISTRO_B.DATOS!I71</f>
        <v>0</v>
      </c>
      <c r="J70" s="41">
        <f>REGISTRO_B.DATOS!J71</f>
        <v>0</v>
      </c>
      <c r="K70" s="43">
        <f>REGISTRO_B.DATOS!K71</f>
        <v>0</v>
      </c>
    </row>
    <row r="71" spans="1:11" x14ac:dyDescent="0.25">
      <c r="A71" s="40">
        <f>REGISTRO_B.DATOS!A72</f>
        <v>0</v>
      </c>
      <c r="B71" s="41">
        <f>REGISTRO_B.DATOS!B72</f>
        <v>0</v>
      </c>
      <c r="C71" s="41">
        <f>REGISTRO_B.DATOS!C72</f>
        <v>0</v>
      </c>
      <c r="D71" s="41">
        <f>REGISTRO_B.DATOS!D72</f>
        <v>0</v>
      </c>
      <c r="E71" s="42">
        <f>REGISTRO_B.DATOS!E72</f>
        <v>0</v>
      </c>
      <c r="F71" s="41">
        <f>REGISTRO_B.DATOS!F72</f>
        <v>0</v>
      </c>
      <c r="G71" s="41">
        <f>REGISTRO_B.DATOS!G72</f>
        <v>0</v>
      </c>
      <c r="H71" s="41">
        <f>REGISTRO_B.DATOS!H72</f>
        <v>0</v>
      </c>
      <c r="I71" s="41">
        <f>REGISTRO_B.DATOS!I72</f>
        <v>0</v>
      </c>
      <c r="J71" s="41">
        <f>REGISTRO_B.DATOS!J72</f>
        <v>0</v>
      </c>
      <c r="K71" s="43">
        <f>REGISTRO_B.DATOS!K72</f>
        <v>0</v>
      </c>
    </row>
    <row r="72" spans="1:11" x14ac:dyDescent="0.25">
      <c r="A72" s="40">
        <f>REGISTRO_B.DATOS!A73</f>
        <v>0</v>
      </c>
      <c r="B72" s="41">
        <f>REGISTRO_B.DATOS!B73</f>
        <v>0</v>
      </c>
      <c r="C72" s="41">
        <f>REGISTRO_B.DATOS!C73</f>
        <v>0</v>
      </c>
      <c r="D72" s="41">
        <f>REGISTRO_B.DATOS!D73</f>
        <v>0</v>
      </c>
      <c r="E72" s="42">
        <f>REGISTRO_B.DATOS!E73</f>
        <v>0</v>
      </c>
      <c r="F72" s="41">
        <f>REGISTRO_B.DATOS!F73</f>
        <v>0</v>
      </c>
      <c r="G72" s="41">
        <f>REGISTRO_B.DATOS!G73</f>
        <v>0</v>
      </c>
      <c r="H72" s="41">
        <f>REGISTRO_B.DATOS!H73</f>
        <v>0</v>
      </c>
      <c r="I72" s="41">
        <f>REGISTRO_B.DATOS!I73</f>
        <v>0</v>
      </c>
      <c r="J72" s="41">
        <f>REGISTRO_B.DATOS!J73</f>
        <v>0</v>
      </c>
      <c r="K72" s="43">
        <f>REGISTRO_B.DATOS!K73</f>
        <v>0</v>
      </c>
    </row>
    <row r="73" spans="1:11" x14ac:dyDescent="0.25">
      <c r="A73" s="40">
        <f>REGISTRO_B.DATOS!A74</f>
        <v>0</v>
      </c>
      <c r="B73" s="41">
        <f>REGISTRO_B.DATOS!B74</f>
        <v>0</v>
      </c>
      <c r="C73" s="41">
        <f>REGISTRO_B.DATOS!C74</f>
        <v>0</v>
      </c>
      <c r="D73" s="41">
        <f>REGISTRO_B.DATOS!D74</f>
        <v>0</v>
      </c>
      <c r="E73" s="42">
        <f>REGISTRO_B.DATOS!E74</f>
        <v>0</v>
      </c>
      <c r="F73" s="41">
        <f>REGISTRO_B.DATOS!F74</f>
        <v>0</v>
      </c>
      <c r="G73" s="41">
        <f>REGISTRO_B.DATOS!G74</f>
        <v>0</v>
      </c>
      <c r="H73" s="41">
        <f>REGISTRO_B.DATOS!H74</f>
        <v>0</v>
      </c>
      <c r="I73" s="41">
        <f>REGISTRO_B.DATOS!I74</f>
        <v>0</v>
      </c>
      <c r="J73" s="41">
        <f>REGISTRO_B.DATOS!J74</f>
        <v>0</v>
      </c>
      <c r="K73" s="43">
        <f>REGISTRO_B.DATOS!K74</f>
        <v>0</v>
      </c>
    </row>
    <row r="74" spans="1:11" x14ac:dyDescent="0.25">
      <c r="A74" s="40">
        <f>REGISTRO_B.DATOS!A75</f>
        <v>0</v>
      </c>
      <c r="B74" s="41">
        <f>REGISTRO_B.DATOS!B75</f>
        <v>0</v>
      </c>
      <c r="C74" s="41">
        <f>REGISTRO_B.DATOS!C75</f>
        <v>0</v>
      </c>
      <c r="D74" s="41">
        <f>REGISTRO_B.DATOS!D75</f>
        <v>0</v>
      </c>
      <c r="E74" s="42">
        <f>REGISTRO_B.DATOS!E75</f>
        <v>0</v>
      </c>
      <c r="F74" s="41">
        <f>REGISTRO_B.DATOS!F75</f>
        <v>0</v>
      </c>
      <c r="G74" s="41">
        <f>REGISTRO_B.DATOS!G75</f>
        <v>0</v>
      </c>
      <c r="H74" s="41">
        <f>REGISTRO_B.DATOS!H75</f>
        <v>0</v>
      </c>
      <c r="I74" s="41">
        <f>REGISTRO_B.DATOS!I75</f>
        <v>0</v>
      </c>
      <c r="J74" s="41">
        <f>REGISTRO_B.DATOS!J75</f>
        <v>0</v>
      </c>
      <c r="K74" s="43">
        <f>REGISTRO_B.DATOS!K75</f>
        <v>0</v>
      </c>
    </row>
    <row r="75" spans="1:11" x14ac:dyDescent="0.25">
      <c r="A75" s="40">
        <f>REGISTRO_B.DATOS!A76</f>
        <v>0</v>
      </c>
      <c r="B75" s="41">
        <f>REGISTRO_B.DATOS!B76</f>
        <v>0</v>
      </c>
      <c r="C75" s="41">
        <f>REGISTRO_B.DATOS!C76</f>
        <v>0</v>
      </c>
      <c r="D75" s="41">
        <f>REGISTRO_B.DATOS!D76</f>
        <v>0</v>
      </c>
      <c r="E75" s="42">
        <f>REGISTRO_B.DATOS!E76</f>
        <v>0</v>
      </c>
      <c r="F75" s="41">
        <f>REGISTRO_B.DATOS!F76</f>
        <v>0</v>
      </c>
      <c r="G75" s="41">
        <f>REGISTRO_B.DATOS!G76</f>
        <v>0</v>
      </c>
      <c r="H75" s="41">
        <f>REGISTRO_B.DATOS!H76</f>
        <v>0</v>
      </c>
      <c r="I75" s="41">
        <f>REGISTRO_B.DATOS!I76</f>
        <v>0</v>
      </c>
      <c r="J75" s="41">
        <f>REGISTRO_B.DATOS!J76</f>
        <v>0</v>
      </c>
      <c r="K75" s="43">
        <f>REGISTRO_B.DATOS!K76</f>
        <v>0</v>
      </c>
    </row>
    <row r="76" spans="1:11" x14ac:dyDescent="0.25">
      <c r="A76" s="40">
        <f>REGISTRO_B.DATOS!A77</f>
        <v>0</v>
      </c>
      <c r="B76" s="41">
        <f>REGISTRO_B.DATOS!B77</f>
        <v>0</v>
      </c>
      <c r="C76" s="41">
        <f>REGISTRO_B.DATOS!C77</f>
        <v>0</v>
      </c>
      <c r="D76" s="41">
        <f>REGISTRO_B.DATOS!D77</f>
        <v>0</v>
      </c>
      <c r="E76" s="42">
        <f>REGISTRO_B.DATOS!E77</f>
        <v>0</v>
      </c>
      <c r="F76" s="41">
        <f>REGISTRO_B.DATOS!F77</f>
        <v>0</v>
      </c>
      <c r="G76" s="41">
        <f>REGISTRO_B.DATOS!G77</f>
        <v>0</v>
      </c>
      <c r="H76" s="41">
        <f>REGISTRO_B.DATOS!H77</f>
        <v>0</v>
      </c>
      <c r="I76" s="41">
        <f>REGISTRO_B.DATOS!I77</f>
        <v>0</v>
      </c>
      <c r="J76" s="41">
        <f>REGISTRO_B.DATOS!J77</f>
        <v>0</v>
      </c>
      <c r="K76" s="43">
        <f>REGISTRO_B.DATOS!K77</f>
        <v>0</v>
      </c>
    </row>
    <row r="77" spans="1:11" x14ac:dyDescent="0.25">
      <c r="A77" s="40">
        <f>REGISTRO_B.DATOS!A78</f>
        <v>0</v>
      </c>
      <c r="B77" s="41">
        <f>REGISTRO_B.DATOS!B78</f>
        <v>0</v>
      </c>
      <c r="C77" s="41">
        <f>REGISTRO_B.DATOS!C78</f>
        <v>0</v>
      </c>
      <c r="D77" s="41">
        <f>REGISTRO_B.DATOS!D78</f>
        <v>0</v>
      </c>
      <c r="E77" s="42">
        <f>REGISTRO_B.DATOS!E78</f>
        <v>0</v>
      </c>
      <c r="F77" s="41">
        <f>REGISTRO_B.DATOS!F78</f>
        <v>0</v>
      </c>
      <c r="G77" s="41">
        <f>REGISTRO_B.DATOS!G78</f>
        <v>0</v>
      </c>
      <c r="H77" s="41">
        <f>REGISTRO_B.DATOS!H78</f>
        <v>0</v>
      </c>
      <c r="I77" s="41">
        <f>REGISTRO_B.DATOS!I78</f>
        <v>0</v>
      </c>
      <c r="J77" s="41">
        <f>REGISTRO_B.DATOS!J78</f>
        <v>0</v>
      </c>
      <c r="K77" s="43">
        <f>REGISTRO_B.DATOS!K78</f>
        <v>0</v>
      </c>
    </row>
    <row r="78" spans="1:11" x14ac:dyDescent="0.25">
      <c r="A78" s="40">
        <f>REGISTRO_B.DATOS!A79</f>
        <v>0</v>
      </c>
      <c r="B78" s="41">
        <f>REGISTRO_B.DATOS!B79</f>
        <v>0</v>
      </c>
      <c r="C78" s="41">
        <f>REGISTRO_B.DATOS!C79</f>
        <v>0</v>
      </c>
      <c r="D78" s="41">
        <f>REGISTRO_B.DATOS!D79</f>
        <v>0</v>
      </c>
      <c r="E78" s="42">
        <f>REGISTRO_B.DATOS!E79</f>
        <v>0</v>
      </c>
      <c r="F78" s="41">
        <f>REGISTRO_B.DATOS!F79</f>
        <v>0</v>
      </c>
      <c r="G78" s="41">
        <f>REGISTRO_B.DATOS!G79</f>
        <v>0</v>
      </c>
      <c r="H78" s="41">
        <f>REGISTRO_B.DATOS!H79</f>
        <v>0</v>
      </c>
      <c r="I78" s="41">
        <f>REGISTRO_B.DATOS!I79</f>
        <v>0</v>
      </c>
      <c r="J78" s="41">
        <f>REGISTRO_B.DATOS!J79</f>
        <v>0</v>
      </c>
      <c r="K78" s="43">
        <f>REGISTRO_B.DATOS!K79</f>
        <v>0</v>
      </c>
    </row>
    <row r="79" spans="1:11" x14ac:dyDescent="0.25">
      <c r="A79" s="40">
        <f>REGISTRO_B.DATOS!A80</f>
        <v>0</v>
      </c>
      <c r="B79" s="41">
        <f>REGISTRO_B.DATOS!B80</f>
        <v>0</v>
      </c>
      <c r="C79" s="41">
        <f>REGISTRO_B.DATOS!C80</f>
        <v>0</v>
      </c>
      <c r="D79" s="41">
        <f>REGISTRO_B.DATOS!D80</f>
        <v>0</v>
      </c>
      <c r="E79" s="42">
        <f>REGISTRO_B.DATOS!E80</f>
        <v>0</v>
      </c>
      <c r="F79" s="41">
        <f>REGISTRO_B.DATOS!F80</f>
        <v>0</v>
      </c>
      <c r="G79" s="41">
        <f>REGISTRO_B.DATOS!G80</f>
        <v>0</v>
      </c>
      <c r="H79" s="41">
        <f>REGISTRO_B.DATOS!H80</f>
        <v>0</v>
      </c>
      <c r="I79" s="41">
        <f>REGISTRO_B.DATOS!I80</f>
        <v>0</v>
      </c>
      <c r="J79" s="41">
        <f>REGISTRO_B.DATOS!J80</f>
        <v>0</v>
      </c>
      <c r="K79" s="43">
        <f>REGISTRO_B.DATOS!K80</f>
        <v>0</v>
      </c>
    </row>
    <row r="80" spans="1:11" x14ac:dyDescent="0.25">
      <c r="A80" s="40">
        <f>REGISTRO_B.DATOS!A81</f>
        <v>0</v>
      </c>
      <c r="B80" s="41">
        <f>REGISTRO_B.DATOS!B81</f>
        <v>0</v>
      </c>
      <c r="C80" s="41">
        <f>REGISTRO_B.DATOS!C81</f>
        <v>0</v>
      </c>
      <c r="D80" s="41">
        <f>REGISTRO_B.DATOS!D81</f>
        <v>0</v>
      </c>
      <c r="E80" s="42">
        <f>REGISTRO_B.DATOS!E81</f>
        <v>0</v>
      </c>
      <c r="F80" s="41">
        <f>REGISTRO_B.DATOS!F81</f>
        <v>0</v>
      </c>
      <c r="G80" s="41">
        <f>REGISTRO_B.DATOS!G81</f>
        <v>0</v>
      </c>
      <c r="H80" s="41">
        <f>REGISTRO_B.DATOS!H81</f>
        <v>0</v>
      </c>
      <c r="I80" s="41">
        <f>REGISTRO_B.DATOS!I81</f>
        <v>0</v>
      </c>
      <c r="J80" s="41">
        <f>REGISTRO_B.DATOS!J81</f>
        <v>0</v>
      </c>
      <c r="K80" s="43">
        <f>REGISTRO_B.DATOS!K81</f>
        <v>0</v>
      </c>
    </row>
    <row r="81" spans="1:11" x14ac:dyDescent="0.25">
      <c r="A81" s="40">
        <f>REGISTRO_B.DATOS!A82</f>
        <v>0</v>
      </c>
      <c r="B81" s="41">
        <f>REGISTRO_B.DATOS!B82</f>
        <v>0</v>
      </c>
      <c r="C81" s="41">
        <f>REGISTRO_B.DATOS!C82</f>
        <v>0</v>
      </c>
      <c r="D81" s="41">
        <f>REGISTRO_B.DATOS!D82</f>
        <v>0</v>
      </c>
      <c r="E81" s="42">
        <f>REGISTRO_B.DATOS!E82</f>
        <v>0</v>
      </c>
      <c r="F81" s="41">
        <f>REGISTRO_B.DATOS!F82</f>
        <v>0</v>
      </c>
      <c r="G81" s="41">
        <f>REGISTRO_B.DATOS!G82</f>
        <v>0</v>
      </c>
      <c r="H81" s="41">
        <f>REGISTRO_B.DATOS!H82</f>
        <v>0</v>
      </c>
      <c r="I81" s="41">
        <f>REGISTRO_B.DATOS!I82</f>
        <v>0</v>
      </c>
      <c r="J81" s="41">
        <f>REGISTRO_B.DATOS!J82</f>
        <v>0</v>
      </c>
      <c r="K81" s="43">
        <f>REGISTRO_B.DATOS!K82</f>
        <v>0</v>
      </c>
    </row>
    <row r="82" spans="1:11" x14ac:dyDescent="0.25">
      <c r="A82" s="40">
        <f>REGISTRO_B.DATOS!A83</f>
        <v>0</v>
      </c>
      <c r="B82" s="41">
        <f>REGISTRO_B.DATOS!B83</f>
        <v>0</v>
      </c>
      <c r="C82" s="41">
        <f>REGISTRO_B.DATOS!C83</f>
        <v>0</v>
      </c>
      <c r="D82" s="41">
        <f>REGISTRO_B.DATOS!D83</f>
        <v>0</v>
      </c>
      <c r="E82" s="42">
        <f>REGISTRO_B.DATOS!E83</f>
        <v>0</v>
      </c>
      <c r="F82" s="41">
        <f>REGISTRO_B.DATOS!F83</f>
        <v>0</v>
      </c>
      <c r="G82" s="41">
        <f>REGISTRO_B.DATOS!G83</f>
        <v>0</v>
      </c>
      <c r="H82" s="41">
        <f>REGISTRO_B.DATOS!H83</f>
        <v>0</v>
      </c>
      <c r="I82" s="41">
        <f>REGISTRO_B.DATOS!I83</f>
        <v>0</v>
      </c>
      <c r="J82" s="41">
        <f>REGISTRO_B.DATOS!J83</f>
        <v>0</v>
      </c>
      <c r="K82" s="43">
        <f>REGISTRO_B.DATOS!K83</f>
        <v>0</v>
      </c>
    </row>
    <row r="83" spans="1:11" x14ac:dyDescent="0.25">
      <c r="A83" s="40">
        <f>REGISTRO_B.DATOS!A84</f>
        <v>0</v>
      </c>
      <c r="B83" s="41">
        <f>REGISTRO_B.DATOS!B84</f>
        <v>0</v>
      </c>
      <c r="C83" s="41">
        <f>REGISTRO_B.DATOS!C84</f>
        <v>0</v>
      </c>
      <c r="D83" s="41">
        <f>REGISTRO_B.DATOS!D84</f>
        <v>0</v>
      </c>
      <c r="E83" s="42">
        <f>REGISTRO_B.DATOS!E84</f>
        <v>0</v>
      </c>
      <c r="F83" s="41">
        <f>REGISTRO_B.DATOS!F84</f>
        <v>0</v>
      </c>
      <c r="G83" s="41">
        <f>REGISTRO_B.DATOS!G84</f>
        <v>0</v>
      </c>
      <c r="H83" s="41">
        <f>REGISTRO_B.DATOS!H84</f>
        <v>0</v>
      </c>
      <c r="I83" s="41">
        <f>REGISTRO_B.DATOS!I84</f>
        <v>0</v>
      </c>
      <c r="J83" s="41">
        <f>REGISTRO_B.DATOS!J84</f>
        <v>0</v>
      </c>
      <c r="K83" s="43">
        <f>REGISTRO_B.DATOS!K84</f>
        <v>0</v>
      </c>
    </row>
    <row r="84" spans="1:11" x14ac:dyDescent="0.25">
      <c r="A84" s="40">
        <f>REGISTRO_B.DATOS!A85</f>
        <v>0</v>
      </c>
      <c r="B84" s="41">
        <f>REGISTRO_B.DATOS!B85</f>
        <v>0</v>
      </c>
      <c r="C84" s="41">
        <f>REGISTRO_B.DATOS!C85</f>
        <v>0</v>
      </c>
      <c r="D84" s="41">
        <f>REGISTRO_B.DATOS!D85</f>
        <v>0</v>
      </c>
      <c r="E84" s="42">
        <f>REGISTRO_B.DATOS!E85</f>
        <v>0</v>
      </c>
      <c r="F84" s="41">
        <f>REGISTRO_B.DATOS!F85</f>
        <v>0</v>
      </c>
      <c r="G84" s="41">
        <f>REGISTRO_B.DATOS!G85</f>
        <v>0</v>
      </c>
      <c r="H84" s="41">
        <f>REGISTRO_B.DATOS!H85</f>
        <v>0</v>
      </c>
      <c r="I84" s="41">
        <f>REGISTRO_B.DATOS!I85</f>
        <v>0</v>
      </c>
      <c r="J84" s="41">
        <f>REGISTRO_B.DATOS!J85</f>
        <v>0</v>
      </c>
      <c r="K84" s="43">
        <f>REGISTRO_B.DATOS!K85</f>
        <v>0</v>
      </c>
    </row>
    <row r="85" spans="1:11" x14ac:dyDescent="0.25">
      <c r="A85" s="40">
        <f>REGISTRO_B.DATOS!A86</f>
        <v>0</v>
      </c>
      <c r="B85" s="41">
        <f>REGISTRO_B.DATOS!B86</f>
        <v>0</v>
      </c>
      <c r="C85" s="41">
        <f>REGISTRO_B.DATOS!C86</f>
        <v>0</v>
      </c>
      <c r="D85" s="41">
        <f>REGISTRO_B.DATOS!D86</f>
        <v>0</v>
      </c>
      <c r="E85" s="42">
        <f>REGISTRO_B.DATOS!E86</f>
        <v>0</v>
      </c>
      <c r="F85" s="41">
        <f>REGISTRO_B.DATOS!F86</f>
        <v>0</v>
      </c>
      <c r="G85" s="41">
        <f>REGISTRO_B.DATOS!G86</f>
        <v>0</v>
      </c>
      <c r="H85" s="41">
        <f>REGISTRO_B.DATOS!H86</f>
        <v>0</v>
      </c>
      <c r="I85" s="41">
        <f>REGISTRO_B.DATOS!I86</f>
        <v>0</v>
      </c>
      <c r="J85" s="41">
        <f>REGISTRO_B.DATOS!J86</f>
        <v>0</v>
      </c>
      <c r="K85" s="43">
        <f>REGISTRO_B.DATOS!K86</f>
        <v>0</v>
      </c>
    </row>
    <row r="86" spans="1:11" x14ac:dyDescent="0.25">
      <c r="A86" s="40">
        <f>REGISTRO_B.DATOS!A87</f>
        <v>0</v>
      </c>
      <c r="B86" s="41">
        <f>REGISTRO_B.DATOS!B87</f>
        <v>0</v>
      </c>
      <c r="C86" s="41">
        <f>REGISTRO_B.DATOS!C87</f>
        <v>0</v>
      </c>
      <c r="D86" s="41">
        <f>REGISTRO_B.DATOS!D87</f>
        <v>0</v>
      </c>
      <c r="E86" s="42">
        <f>REGISTRO_B.DATOS!E87</f>
        <v>0</v>
      </c>
      <c r="F86" s="41">
        <f>REGISTRO_B.DATOS!F87</f>
        <v>0</v>
      </c>
      <c r="G86" s="41">
        <f>REGISTRO_B.DATOS!G87</f>
        <v>0</v>
      </c>
      <c r="H86" s="41">
        <f>REGISTRO_B.DATOS!H87</f>
        <v>0</v>
      </c>
      <c r="I86" s="41">
        <f>REGISTRO_B.DATOS!I87</f>
        <v>0</v>
      </c>
      <c r="J86" s="41">
        <f>REGISTRO_B.DATOS!J87</f>
        <v>0</v>
      </c>
      <c r="K86" s="43">
        <f>REGISTRO_B.DATOS!K87</f>
        <v>0</v>
      </c>
    </row>
    <row r="87" spans="1:11" x14ac:dyDescent="0.25">
      <c r="A87" s="40">
        <f>REGISTRO_B.DATOS!A88</f>
        <v>0</v>
      </c>
      <c r="B87" s="41">
        <f>REGISTRO_B.DATOS!B88</f>
        <v>0</v>
      </c>
      <c r="C87" s="41">
        <f>REGISTRO_B.DATOS!C88</f>
        <v>0</v>
      </c>
      <c r="D87" s="41">
        <f>REGISTRO_B.DATOS!D88</f>
        <v>0</v>
      </c>
      <c r="E87" s="42">
        <f>REGISTRO_B.DATOS!E88</f>
        <v>0</v>
      </c>
      <c r="F87" s="41">
        <f>REGISTRO_B.DATOS!F88</f>
        <v>0</v>
      </c>
      <c r="G87" s="41">
        <f>REGISTRO_B.DATOS!G88</f>
        <v>0</v>
      </c>
      <c r="H87" s="41">
        <f>REGISTRO_B.DATOS!H88</f>
        <v>0</v>
      </c>
      <c r="I87" s="41">
        <f>REGISTRO_B.DATOS!I88</f>
        <v>0</v>
      </c>
      <c r="J87" s="41">
        <f>REGISTRO_B.DATOS!J88</f>
        <v>0</v>
      </c>
      <c r="K87" s="43">
        <f>REGISTRO_B.DATOS!K88</f>
        <v>0</v>
      </c>
    </row>
    <row r="88" spans="1:11" x14ac:dyDescent="0.25">
      <c r="A88" s="40">
        <f>REGISTRO_B.DATOS!A89</f>
        <v>0</v>
      </c>
      <c r="B88" s="41">
        <f>REGISTRO_B.DATOS!B89</f>
        <v>0</v>
      </c>
      <c r="C88" s="41">
        <f>REGISTRO_B.DATOS!C89</f>
        <v>0</v>
      </c>
      <c r="D88" s="41">
        <f>REGISTRO_B.DATOS!D89</f>
        <v>0</v>
      </c>
      <c r="E88" s="42">
        <f>REGISTRO_B.DATOS!E89</f>
        <v>0</v>
      </c>
      <c r="F88" s="41">
        <f>REGISTRO_B.DATOS!F89</f>
        <v>0</v>
      </c>
      <c r="G88" s="41">
        <f>REGISTRO_B.DATOS!G89</f>
        <v>0</v>
      </c>
      <c r="H88" s="41">
        <f>REGISTRO_B.DATOS!H89</f>
        <v>0</v>
      </c>
      <c r="I88" s="41">
        <f>REGISTRO_B.DATOS!I89</f>
        <v>0</v>
      </c>
      <c r="J88" s="41">
        <f>REGISTRO_B.DATOS!J89</f>
        <v>0</v>
      </c>
      <c r="K88" s="43">
        <f>REGISTRO_B.DATOS!K89</f>
        <v>0</v>
      </c>
    </row>
    <row r="89" spans="1:11" x14ac:dyDescent="0.25">
      <c r="A89" s="40">
        <f>REGISTRO_B.DATOS!A90</f>
        <v>0</v>
      </c>
      <c r="B89" s="41">
        <f>REGISTRO_B.DATOS!B90</f>
        <v>0</v>
      </c>
      <c r="C89" s="41">
        <f>REGISTRO_B.DATOS!C90</f>
        <v>0</v>
      </c>
      <c r="D89" s="41">
        <f>REGISTRO_B.DATOS!D90</f>
        <v>0</v>
      </c>
      <c r="E89" s="42">
        <f>REGISTRO_B.DATOS!E90</f>
        <v>0</v>
      </c>
      <c r="F89" s="41">
        <f>REGISTRO_B.DATOS!F90</f>
        <v>0</v>
      </c>
      <c r="G89" s="41">
        <f>REGISTRO_B.DATOS!G90</f>
        <v>0</v>
      </c>
      <c r="H89" s="41">
        <f>REGISTRO_B.DATOS!H90</f>
        <v>0</v>
      </c>
      <c r="I89" s="41">
        <f>REGISTRO_B.DATOS!I90</f>
        <v>0</v>
      </c>
      <c r="J89" s="41">
        <f>REGISTRO_B.DATOS!J90</f>
        <v>0</v>
      </c>
      <c r="K89" s="43">
        <f>REGISTRO_B.DATOS!K90</f>
        <v>0</v>
      </c>
    </row>
    <row r="90" spans="1:11" x14ac:dyDescent="0.25">
      <c r="A90" s="40">
        <f>REGISTRO_B.DATOS!A91</f>
        <v>0</v>
      </c>
      <c r="B90" s="41">
        <f>REGISTRO_B.DATOS!B91</f>
        <v>0</v>
      </c>
      <c r="C90" s="41">
        <f>REGISTRO_B.DATOS!C91</f>
        <v>0</v>
      </c>
      <c r="D90" s="41">
        <f>REGISTRO_B.DATOS!D91</f>
        <v>0</v>
      </c>
      <c r="E90" s="42">
        <f>REGISTRO_B.DATOS!E91</f>
        <v>0</v>
      </c>
      <c r="F90" s="41">
        <f>REGISTRO_B.DATOS!F91</f>
        <v>0</v>
      </c>
      <c r="G90" s="41">
        <f>REGISTRO_B.DATOS!G91</f>
        <v>0</v>
      </c>
      <c r="H90" s="41">
        <f>REGISTRO_B.DATOS!H91</f>
        <v>0</v>
      </c>
      <c r="I90" s="41">
        <f>REGISTRO_B.DATOS!I91</f>
        <v>0</v>
      </c>
      <c r="J90" s="41">
        <f>REGISTRO_B.DATOS!J91</f>
        <v>0</v>
      </c>
      <c r="K90" s="43">
        <f>REGISTRO_B.DATOS!K91</f>
        <v>0</v>
      </c>
    </row>
    <row r="91" spans="1:11" x14ac:dyDescent="0.25">
      <c r="A91" s="40">
        <f>REGISTRO_B.DATOS!A92</f>
        <v>0</v>
      </c>
      <c r="B91" s="41">
        <f>REGISTRO_B.DATOS!B92</f>
        <v>0</v>
      </c>
      <c r="C91" s="41">
        <f>REGISTRO_B.DATOS!C92</f>
        <v>0</v>
      </c>
      <c r="D91" s="41">
        <f>REGISTRO_B.DATOS!D92</f>
        <v>0</v>
      </c>
      <c r="E91" s="42">
        <f>REGISTRO_B.DATOS!E92</f>
        <v>0</v>
      </c>
      <c r="F91" s="41">
        <f>REGISTRO_B.DATOS!F92</f>
        <v>0</v>
      </c>
      <c r="G91" s="41">
        <f>REGISTRO_B.DATOS!G92</f>
        <v>0</v>
      </c>
      <c r="H91" s="41">
        <f>REGISTRO_B.DATOS!H92</f>
        <v>0</v>
      </c>
      <c r="I91" s="41">
        <f>REGISTRO_B.DATOS!I92</f>
        <v>0</v>
      </c>
      <c r="J91" s="41">
        <f>REGISTRO_B.DATOS!J92</f>
        <v>0</v>
      </c>
      <c r="K91" s="43">
        <f>REGISTRO_B.DATOS!K92</f>
        <v>0</v>
      </c>
    </row>
    <row r="92" spans="1:11" x14ac:dyDescent="0.25">
      <c r="A92" s="40">
        <f>REGISTRO_B.DATOS!A93</f>
        <v>0</v>
      </c>
      <c r="B92" s="41">
        <f>REGISTRO_B.DATOS!B93</f>
        <v>0</v>
      </c>
      <c r="C92" s="41">
        <f>REGISTRO_B.DATOS!C93</f>
        <v>0</v>
      </c>
      <c r="D92" s="41">
        <f>REGISTRO_B.DATOS!D93</f>
        <v>0</v>
      </c>
      <c r="E92" s="42">
        <f>REGISTRO_B.DATOS!E93</f>
        <v>0</v>
      </c>
      <c r="F92" s="41">
        <f>REGISTRO_B.DATOS!F93</f>
        <v>0</v>
      </c>
      <c r="G92" s="41">
        <f>REGISTRO_B.DATOS!G93</f>
        <v>0</v>
      </c>
      <c r="H92" s="41">
        <f>REGISTRO_B.DATOS!H93</f>
        <v>0</v>
      </c>
      <c r="I92" s="41">
        <f>REGISTRO_B.DATOS!I93</f>
        <v>0</v>
      </c>
      <c r="J92" s="41">
        <f>REGISTRO_B.DATOS!J93</f>
        <v>0</v>
      </c>
      <c r="K92" s="43">
        <f>REGISTRO_B.DATOS!K93</f>
        <v>0</v>
      </c>
    </row>
    <row r="93" spans="1:11" x14ac:dyDescent="0.25">
      <c r="A93" s="40">
        <f>REGISTRO_B.DATOS!A94</f>
        <v>0</v>
      </c>
      <c r="B93" s="41">
        <f>REGISTRO_B.DATOS!B94</f>
        <v>0</v>
      </c>
      <c r="C93" s="41">
        <f>REGISTRO_B.DATOS!C94</f>
        <v>0</v>
      </c>
      <c r="D93" s="41">
        <f>REGISTRO_B.DATOS!D94</f>
        <v>0</v>
      </c>
      <c r="E93" s="42">
        <f>REGISTRO_B.DATOS!E94</f>
        <v>0</v>
      </c>
      <c r="F93" s="41">
        <f>REGISTRO_B.DATOS!F94</f>
        <v>0</v>
      </c>
      <c r="G93" s="41">
        <f>REGISTRO_B.DATOS!G94</f>
        <v>0</v>
      </c>
      <c r="H93" s="41">
        <f>REGISTRO_B.DATOS!H94</f>
        <v>0</v>
      </c>
      <c r="I93" s="41">
        <f>REGISTRO_B.DATOS!I94</f>
        <v>0</v>
      </c>
      <c r="J93" s="41">
        <f>REGISTRO_B.DATOS!J94</f>
        <v>0</v>
      </c>
      <c r="K93" s="43">
        <f>REGISTRO_B.DATOS!K94</f>
        <v>0</v>
      </c>
    </row>
    <row r="94" spans="1:11" x14ac:dyDescent="0.25">
      <c r="A94" s="40">
        <f>REGISTRO_B.DATOS!A95</f>
        <v>0</v>
      </c>
      <c r="B94" s="41">
        <f>REGISTRO_B.DATOS!B95</f>
        <v>0</v>
      </c>
      <c r="C94" s="41">
        <f>REGISTRO_B.DATOS!C95</f>
        <v>0</v>
      </c>
      <c r="D94" s="41">
        <f>REGISTRO_B.DATOS!D95</f>
        <v>0</v>
      </c>
      <c r="E94" s="42">
        <f>REGISTRO_B.DATOS!E95</f>
        <v>0</v>
      </c>
      <c r="F94" s="41">
        <f>REGISTRO_B.DATOS!F95</f>
        <v>0</v>
      </c>
      <c r="G94" s="41">
        <f>REGISTRO_B.DATOS!G95</f>
        <v>0</v>
      </c>
      <c r="H94" s="41">
        <f>REGISTRO_B.DATOS!H95</f>
        <v>0</v>
      </c>
      <c r="I94" s="41">
        <f>REGISTRO_B.DATOS!I95</f>
        <v>0</v>
      </c>
      <c r="J94" s="41">
        <f>REGISTRO_B.DATOS!J95</f>
        <v>0</v>
      </c>
      <c r="K94" s="43">
        <f>REGISTRO_B.DATOS!K95</f>
        <v>0</v>
      </c>
    </row>
    <row r="95" spans="1:11" x14ac:dyDescent="0.25">
      <c r="A95" s="40">
        <f>REGISTRO_B.DATOS!A96</f>
        <v>0</v>
      </c>
      <c r="B95" s="41">
        <f>REGISTRO_B.DATOS!B96</f>
        <v>0</v>
      </c>
      <c r="C95" s="41">
        <f>REGISTRO_B.DATOS!C96</f>
        <v>0</v>
      </c>
      <c r="D95" s="41">
        <f>REGISTRO_B.DATOS!D96</f>
        <v>0</v>
      </c>
      <c r="E95" s="42">
        <f>REGISTRO_B.DATOS!E96</f>
        <v>0</v>
      </c>
      <c r="F95" s="41">
        <f>REGISTRO_B.DATOS!F96</f>
        <v>0</v>
      </c>
      <c r="G95" s="41">
        <f>REGISTRO_B.DATOS!G96</f>
        <v>0</v>
      </c>
      <c r="H95" s="41">
        <f>REGISTRO_B.DATOS!H96</f>
        <v>0</v>
      </c>
      <c r="I95" s="41">
        <f>REGISTRO_B.DATOS!I96</f>
        <v>0</v>
      </c>
      <c r="J95" s="41">
        <f>REGISTRO_B.DATOS!J96</f>
        <v>0</v>
      </c>
      <c r="K95" s="43">
        <f>REGISTRO_B.DATOS!K96</f>
        <v>0</v>
      </c>
    </row>
    <row r="96" spans="1:11" x14ac:dyDescent="0.25">
      <c r="A96" s="40">
        <f>REGISTRO_B.DATOS!A97</f>
        <v>0</v>
      </c>
      <c r="B96" s="41">
        <f>REGISTRO_B.DATOS!B97</f>
        <v>0</v>
      </c>
      <c r="C96" s="41">
        <f>REGISTRO_B.DATOS!C97</f>
        <v>0</v>
      </c>
      <c r="D96" s="41">
        <f>REGISTRO_B.DATOS!D97</f>
        <v>0</v>
      </c>
      <c r="E96" s="42">
        <f>REGISTRO_B.DATOS!E97</f>
        <v>0</v>
      </c>
      <c r="F96" s="41">
        <f>REGISTRO_B.DATOS!F97</f>
        <v>0</v>
      </c>
      <c r="G96" s="41">
        <f>REGISTRO_B.DATOS!G97</f>
        <v>0</v>
      </c>
      <c r="H96" s="41">
        <f>REGISTRO_B.DATOS!H97</f>
        <v>0</v>
      </c>
      <c r="I96" s="41">
        <f>REGISTRO_B.DATOS!I97</f>
        <v>0</v>
      </c>
      <c r="J96" s="41">
        <f>REGISTRO_B.DATOS!J97</f>
        <v>0</v>
      </c>
      <c r="K96" s="43">
        <f>REGISTRO_B.DATOS!K97</f>
        <v>0</v>
      </c>
    </row>
    <row r="97" spans="1:11" x14ac:dyDescent="0.25">
      <c r="A97" s="40">
        <f>REGISTRO_B.DATOS!A98</f>
        <v>0</v>
      </c>
      <c r="B97" s="41">
        <f>REGISTRO_B.DATOS!B98</f>
        <v>0</v>
      </c>
      <c r="C97" s="41">
        <f>REGISTRO_B.DATOS!C98</f>
        <v>0</v>
      </c>
      <c r="D97" s="41">
        <f>REGISTRO_B.DATOS!D98</f>
        <v>0</v>
      </c>
      <c r="E97" s="42">
        <f>REGISTRO_B.DATOS!E98</f>
        <v>0</v>
      </c>
      <c r="F97" s="41">
        <f>REGISTRO_B.DATOS!F98</f>
        <v>0</v>
      </c>
      <c r="G97" s="41">
        <f>REGISTRO_B.DATOS!G98</f>
        <v>0</v>
      </c>
      <c r="H97" s="41">
        <f>REGISTRO_B.DATOS!H98</f>
        <v>0</v>
      </c>
      <c r="I97" s="41">
        <f>REGISTRO_B.DATOS!I98</f>
        <v>0</v>
      </c>
      <c r="J97" s="41">
        <f>REGISTRO_B.DATOS!J98</f>
        <v>0</v>
      </c>
      <c r="K97" s="43">
        <f>REGISTRO_B.DATOS!K98</f>
        <v>0</v>
      </c>
    </row>
    <row r="98" spans="1:11" x14ac:dyDescent="0.25">
      <c r="A98" s="40">
        <f>REGISTRO_B.DATOS!A99</f>
        <v>0</v>
      </c>
      <c r="B98" s="41">
        <f>REGISTRO_B.DATOS!B99</f>
        <v>0</v>
      </c>
      <c r="C98" s="41">
        <f>REGISTRO_B.DATOS!C99</f>
        <v>0</v>
      </c>
      <c r="D98" s="41">
        <f>REGISTRO_B.DATOS!D99</f>
        <v>0</v>
      </c>
      <c r="E98" s="42">
        <f>REGISTRO_B.DATOS!E99</f>
        <v>0</v>
      </c>
      <c r="F98" s="41">
        <f>REGISTRO_B.DATOS!F99</f>
        <v>0</v>
      </c>
      <c r="G98" s="41">
        <f>REGISTRO_B.DATOS!G99</f>
        <v>0</v>
      </c>
      <c r="H98" s="41">
        <f>REGISTRO_B.DATOS!H99</f>
        <v>0</v>
      </c>
      <c r="I98" s="41">
        <f>REGISTRO_B.DATOS!I99</f>
        <v>0</v>
      </c>
      <c r="J98" s="41">
        <f>REGISTRO_B.DATOS!J99</f>
        <v>0</v>
      </c>
      <c r="K98" s="43">
        <f>REGISTRO_B.DATOS!K99</f>
        <v>0</v>
      </c>
    </row>
    <row r="99" spans="1:11" x14ac:dyDescent="0.25">
      <c r="A99" s="40">
        <f>REGISTRO_B.DATOS!A100</f>
        <v>0</v>
      </c>
      <c r="B99" s="41">
        <f>REGISTRO_B.DATOS!B100</f>
        <v>0</v>
      </c>
      <c r="C99" s="41">
        <f>REGISTRO_B.DATOS!C100</f>
        <v>0</v>
      </c>
      <c r="D99" s="41">
        <f>REGISTRO_B.DATOS!D100</f>
        <v>0</v>
      </c>
      <c r="E99" s="42">
        <f>REGISTRO_B.DATOS!E100</f>
        <v>0</v>
      </c>
      <c r="F99" s="41">
        <f>REGISTRO_B.DATOS!F100</f>
        <v>0</v>
      </c>
      <c r="G99" s="41">
        <f>REGISTRO_B.DATOS!G100</f>
        <v>0</v>
      </c>
      <c r="H99" s="41">
        <f>REGISTRO_B.DATOS!H100</f>
        <v>0</v>
      </c>
      <c r="I99" s="41">
        <f>REGISTRO_B.DATOS!I100</f>
        <v>0</v>
      </c>
      <c r="J99" s="41">
        <f>REGISTRO_B.DATOS!J100</f>
        <v>0</v>
      </c>
      <c r="K99" s="43">
        <f>REGISTRO_B.DATOS!K100</f>
        <v>0</v>
      </c>
    </row>
    <row r="100" spans="1:11" x14ac:dyDescent="0.25">
      <c r="A100" s="40">
        <f>REGISTRO_B.DATOS!A101</f>
        <v>0</v>
      </c>
      <c r="B100" s="41">
        <f>REGISTRO_B.DATOS!B101</f>
        <v>0</v>
      </c>
      <c r="C100" s="41">
        <f>REGISTRO_B.DATOS!C101</f>
        <v>0</v>
      </c>
      <c r="D100" s="41">
        <f>REGISTRO_B.DATOS!D101</f>
        <v>0</v>
      </c>
      <c r="E100" s="42">
        <f>REGISTRO_B.DATOS!E101</f>
        <v>0</v>
      </c>
      <c r="F100" s="41">
        <f>REGISTRO_B.DATOS!F101</f>
        <v>0</v>
      </c>
      <c r="G100" s="41">
        <f>REGISTRO_B.DATOS!G101</f>
        <v>0</v>
      </c>
      <c r="H100" s="41">
        <f>REGISTRO_B.DATOS!H101</f>
        <v>0</v>
      </c>
      <c r="I100" s="41">
        <f>REGISTRO_B.DATOS!I101</f>
        <v>0</v>
      </c>
      <c r="J100" s="41">
        <f>REGISTRO_B.DATOS!J101</f>
        <v>0</v>
      </c>
      <c r="K100" s="43">
        <f>REGISTRO_B.DATOS!K101</f>
        <v>0</v>
      </c>
    </row>
    <row r="101" spans="1:11" x14ac:dyDescent="0.25">
      <c r="A101" s="40">
        <f>REGISTRO_B.DATOS!A102</f>
        <v>0</v>
      </c>
      <c r="B101" s="41">
        <f>REGISTRO_B.DATOS!B102</f>
        <v>0</v>
      </c>
      <c r="C101" s="41">
        <f>REGISTRO_B.DATOS!C102</f>
        <v>0</v>
      </c>
      <c r="D101" s="41">
        <f>REGISTRO_B.DATOS!D102</f>
        <v>0</v>
      </c>
      <c r="E101" s="42">
        <f>REGISTRO_B.DATOS!E102</f>
        <v>0</v>
      </c>
      <c r="F101" s="41">
        <f>REGISTRO_B.DATOS!F102</f>
        <v>0</v>
      </c>
      <c r="G101" s="41">
        <f>REGISTRO_B.DATOS!G102</f>
        <v>0</v>
      </c>
      <c r="H101" s="41">
        <f>REGISTRO_B.DATOS!H102</f>
        <v>0</v>
      </c>
      <c r="I101" s="41">
        <f>REGISTRO_B.DATOS!I102</f>
        <v>0</v>
      </c>
      <c r="J101" s="41">
        <f>REGISTRO_B.DATOS!J102</f>
        <v>0</v>
      </c>
      <c r="K101" s="43">
        <f>REGISTRO_B.DATOS!K102</f>
        <v>0</v>
      </c>
    </row>
    <row r="102" spans="1:11" x14ac:dyDescent="0.25">
      <c r="A102" s="40">
        <f>REGISTRO_B.DATOS!A103</f>
        <v>0</v>
      </c>
      <c r="B102" s="41">
        <f>REGISTRO_B.DATOS!B103</f>
        <v>0</v>
      </c>
      <c r="C102" s="41">
        <f>REGISTRO_B.DATOS!C103</f>
        <v>0</v>
      </c>
      <c r="D102" s="41">
        <f>REGISTRO_B.DATOS!D103</f>
        <v>0</v>
      </c>
      <c r="E102" s="42">
        <f>REGISTRO_B.DATOS!E103</f>
        <v>0</v>
      </c>
      <c r="F102" s="41">
        <f>REGISTRO_B.DATOS!F103</f>
        <v>0</v>
      </c>
      <c r="G102" s="41">
        <f>REGISTRO_B.DATOS!G103</f>
        <v>0</v>
      </c>
      <c r="H102" s="41">
        <f>REGISTRO_B.DATOS!H103</f>
        <v>0</v>
      </c>
      <c r="I102" s="41">
        <f>REGISTRO_B.DATOS!I103</f>
        <v>0</v>
      </c>
      <c r="J102" s="41">
        <f>REGISTRO_B.DATOS!J103</f>
        <v>0</v>
      </c>
      <c r="K102" s="43">
        <f>REGISTRO_B.DATOS!K103</f>
        <v>0</v>
      </c>
    </row>
    <row r="103" spans="1:11" x14ac:dyDescent="0.25">
      <c r="A103" s="40">
        <f>REGISTRO_B.DATOS!A104</f>
        <v>0</v>
      </c>
      <c r="B103" s="41">
        <f>REGISTRO_B.DATOS!B104</f>
        <v>0</v>
      </c>
      <c r="C103" s="41">
        <f>REGISTRO_B.DATOS!C104</f>
        <v>0</v>
      </c>
      <c r="D103" s="41">
        <f>REGISTRO_B.DATOS!D104</f>
        <v>0</v>
      </c>
      <c r="E103" s="42">
        <f>REGISTRO_B.DATOS!E104</f>
        <v>0</v>
      </c>
      <c r="F103" s="41">
        <f>REGISTRO_B.DATOS!F104</f>
        <v>0</v>
      </c>
      <c r="G103" s="41">
        <f>REGISTRO_B.DATOS!G104</f>
        <v>0</v>
      </c>
      <c r="H103" s="41">
        <f>REGISTRO_B.DATOS!H104</f>
        <v>0</v>
      </c>
      <c r="I103" s="41">
        <f>REGISTRO_B.DATOS!I104</f>
        <v>0</v>
      </c>
      <c r="J103" s="41">
        <f>REGISTRO_B.DATOS!J104</f>
        <v>0</v>
      </c>
      <c r="K103" s="43">
        <f>REGISTRO_B.DATOS!K104</f>
        <v>0</v>
      </c>
    </row>
    <row r="104" spans="1:11" x14ac:dyDescent="0.25">
      <c r="A104" s="40">
        <f>REGISTRO_B.DATOS!A105</f>
        <v>0</v>
      </c>
      <c r="B104" s="41">
        <f>REGISTRO_B.DATOS!B105</f>
        <v>0</v>
      </c>
      <c r="C104" s="41">
        <f>REGISTRO_B.DATOS!C105</f>
        <v>0</v>
      </c>
      <c r="D104" s="41">
        <f>REGISTRO_B.DATOS!D105</f>
        <v>0</v>
      </c>
      <c r="E104" s="42">
        <f>REGISTRO_B.DATOS!E105</f>
        <v>0</v>
      </c>
      <c r="F104" s="41">
        <f>REGISTRO_B.DATOS!F105</f>
        <v>0</v>
      </c>
      <c r="G104" s="41">
        <f>REGISTRO_B.DATOS!G105</f>
        <v>0</v>
      </c>
      <c r="H104" s="41">
        <f>REGISTRO_B.DATOS!H105</f>
        <v>0</v>
      </c>
      <c r="I104" s="41">
        <f>REGISTRO_B.DATOS!I105</f>
        <v>0</v>
      </c>
      <c r="J104" s="41">
        <f>REGISTRO_B.DATOS!J105</f>
        <v>0</v>
      </c>
      <c r="K104" s="43">
        <f>REGISTRO_B.DATOS!K105</f>
        <v>0</v>
      </c>
    </row>
    <row r="105" spans="1:11" x14ac:dyDescent="0.25">
      <c r="A105" s="40">
        <f>REGISTRO_B.DATOS!A106</f>
        <v>0</v>
      </c>
      <c r="B105" s="41">
        <f>REGISTRO_B.DATOS!B106</f>
        <v>0</v>
      </c>
      <c r="C105" s="41">
        <f>REGISTRO_B.DATOS!C106</f>
        <v>0</v>
      </c>
      <c r="D105" s="41">
        <f>REGISTRO_B.DATOS!D106</f>
        <v>0</v>
      </c>
      <c r="E105" s="42">
        <f>REGISTRO_B.DATOS!E106</f>
        <v>0</v>
      </c>
      <c r="F105" s="41">
        <f>REGISTRO_B.DATOS!F106</f>
        <v>0</v>
      </c>
      <c r="G105" s="41">
        <f>REGISTRO_B.DATOS!G106</f>
        <v>0</v>
      </c>
      <c r="H105" s="41">
        <f>REGISTRO_B.DATOS!H106</f>
        <v>0</v>
      </c>
      <c r="I105" s="41">
        <f>REGISTRO_B.DATOS!I106</f>
        <v>0</v>
      </c>
      <c r="J105" s="41">
        <f>REGISTRO_B.DATOS!J106</f>
        <v>0</v>
      </c>
      <c r="K105" s="43">
        <f>REGISTRO_B.DATOS!K106</f>
        <v>0</v>
      </c>
    </row>
    <row r="106" spans="1:11" x14ac:dyDescent="0.25">
      <c r="A106" s="40">
        <f>REGISTRO_B.DATOS!A107</f>
        <v>0</v>
      </c>
      <c r="B106" s="41">
        <f>REGISTRO_B.DATOS!B107</f>
        <v>0</v>
      </c>
      <c r="C106" s="41">
        <f>REGISTRO_B.DATOS!C107</f>
        <v>0</v>
      </c>
      <c r="D106" s="41">
        <f>REGISTRO_B.DATOS!D107</f>
        <v>0</v>
      </c>
      <c r="E106" s="42">
        <f>REGISTRO_B.DATOS!E107</f>
        <v>0</v>
      </c>
      <c r="F106" s="41">
        <f>REGISTRO_B.DATOS!F107</f>
        <v>0</v>
      </c>
      <c r="G106" s="41">
        <f>REGISTRO_B.DATOS!G107</f>
        <v>0</v>
      </c>
      <c r="H106" s="41">
        <f>REGISTRO_B.DATOS!H107</f>
        <v>0</v>
      </c>
      <c r="I106" s="41">
        <f>REGISTRO_B.DATOS!I107</f>
        <v>0</v>
      </c>
      <c r="J106" s="41">
        <f>REGISTRO_B.DATOS!J107</f>
        <v>0</v>
      </c>
      <c r="K106" s="43">
        <f>REGISTRO_B.DATOS!K107</f>
        <v>0</v>
      </c>
    </row>
    <row r="107" spans="1:11" x14ac:dyDescent="0.25">
      <c r="A107" s="40">
        <f>REGISTRO_B.DATOS!A108</f>
        <v>0</v>
      </c>
      <c r="B107" s="41">
        <f>REGISTRO_B.DATOS!B108</f>
        <v>0</v>
      </c>
      <c r="C107" s="41">
        <f>REGISTRO_B.DATOS!C108</f>
        <v>0</v>
      </c>
      <c r="D107" s="41">
        <f>REGISTRO_B.DATOS!D108</f>
        <v>0</v>
      </c>
      <c r="E107" s="42">
        <f>REGISTRO_B.DATOS!E108</f>
        <v>0</v>
      </c>
      <c r="F107" s="41">
        <f>REGISTRO_B.DATOS!F108</f>
        <v>0</v>
      </c>
      <c r="G107" s="41">
        <f>REGISTRO_B.DATOS!G108</f>
        <v>0</v>
      </c>
      <c r="H107" s="41">
        <f>REGISTRO_B.DATOS!H108</f>
        <v>0</v>
      </c>
      <c r="I107" s="41">
        <f>REGISTRO_B.DATOS!I108</f>
        <v>0</v>
      </c>
      <c r="J107" s="41">
        <f>REGISTRO_B.DATOS!J108</f>
        <v>0</v>
      </c>
      <c r="K107" s="43">
        <f>REGISTRO_B.DATOS!K108</f>
        <v>0</v>
      </c>
    </row>
    <row r="108" spans="1:11" x14ac:dyDescent="0.25">
      <c r="A108" s="40">
        <f>REGISTRO_B.DATOS!A109</f>
        <v>0</v>
      </c>
      <c r="B108" s="41">
        <f>REGISTRO_B.DATOS!B109</f>
        <v>0</v>
      </c>
      <c r="C108" s="41">
        <f>REGISTRO_B.DATOS!C109</f>
        <v>0</v>
      </c>
      <c r="D108" s="41">
        <f>REGISTRO_B.DATOS!D109</f>
        <v>0</v>
      </c>
      <c r="E108" s="42">
        <f>REGISTRO_B.DATOS!E109</f>
        <v>0</v>
      </c>
      <c r="F108" s="41">
        <f>REGISTRO_B.DATOS!F109</f>
        <v>0</v>
      </c>
      <c r="G108" s="41">
        <f>REGISTRO_B.DATOS!G109</f>
        <v>0</v>
      </c>
      <c r="H108" s="41">
        <f>REGISTRO_B.DATOS!H109</f>
        <v>0</v>
      </c>
      <c r="I108" s="41">
        <f>REGISTRO_B.DATOS!I109</f>
        <v>0</v>
      </c>
      <c r="J108" s="41">
        <f>REGISTRO_B.DATOS!J109</f>
        <v>0</v>
      </c>
      <c r="K108" s="43">
        <f>REGISTRO_B.DATOS!K109</f>
        <v>0</v>
      </c>
    </row>
    <row r="109" spans="1:11" x14ac:dyDescent="0.25">
      <c r="A109" s="40">
        <f>REGISTRO_B.DATOS!A110</f>
        <v>0</v>
      </c>
      <c r="B109" s="41">
        <f>REGISTRO_B.DATOS!B110</f>
        <v>0</v>
      </c>
      <c r="C109" s="41">
        <f>REGISTRO_B.DATOS!C110</f>
        <v>0</v>
      </c>
      <c r="D109" s="41">
        <f>REGISTRO_B.DATOS!D110</f>
        <v>0</v>
      </c>
      <c r="E109" s="42">
        <f>REGISTRO_B.DATOS!E110</f>
        <v>0</v>
      </c>
      <c r="F109" s="41">
        <f>REGISTRO_B.DATOS!F110</f>
        <v>0</v>
      </c>
      <c r="G109" s="41">
        <f>REGISTRO_B.DATOS!G110</f>
        <v>0</v>
      </c>
      <c r="H109" s="41">
        <f>REGISTRO_B.DATOS!H110</f>
        <v>0</v>
      </c>
      <c r="I109" s="41">
        <f>REGISTRO_B.DATOS!I110</f>
        <v>0</v>
      </c>
      <c r="J109" s="41">
        <f>REGISTRO_B.DATOS!J110</f>
        <v>0</v>
      </c>
      <c r="K109" s="43">
        <f>REGISTRO_B.DATOS!K110</f>
        <v>0</v>
      </c>
    </row>
    <row r="110" spans="1:11" x14ac:dyDescent="0.25">
      <c r="A110" s="40">
        <f>REGISTRO_B.DATOS!A111</f>
        <v>0</v>
      </c>
      <c r="B110" s="41">
        <f>REGISTRO_B.DATOS!B111</f>
        <v>0</v>
      </c>
      <c r="C110" s="41">
        <f>REGISTRO_B.DATOS!C111</f>
        <v>0</v>
      </c>
      <c r="D110" s="41">
        <f>REGISTRO_B.DATOS!D111</f>
        <v>0</v>
      </c>
      <c r="E110" s="42">
        <f>REGISTRO_B.DATOS!E111</f>
        <v>0</v>
      </c>
      <c r="F110" s="41">
        <f>REGISTRO_B.DATOS!F111</f>
        <v>0</v>
      </c>
      <c r="G110" s="41">
        <f>REGISTRO_B.DATOS!G111</f>
        <v>0</v>
      </c>
      <c r="H110" s="41">
        <f>REGISTRO_B.DATOS!H111</f>
        <v>0</v>
      </c>
      <c r="I110" s="41">
        <f>REGISTRO_B.DATOS!I111</f>
        <v>0</v>
      </c>
      <c r="J110" s="41">
        <f>REGISTRO_B.DATOS!J111</f>
        <v>0</v>
      </c>
      <c r="K110" s="43">
        <f>REGISTRO_B.DATOS!K111</f>
        <v>0</v>
      </c>
    </row>
    <row r="111" spans="1:11" x14ac:dyDescent="0.25">
      <c r="A111" s="40">
        <f>REGISTRO_B.DATOS!A112</f>
        <v>0</v>
      </c>
      <c r="B111" s="41">
        <f>REGISTRO_B.DATOS!B112</f>
        <v>0</v>
      </c>
      <c r="C111" s="41">
        <f>REGISTRO_B.DATOS!C112</f>
        <v>0</v>
      </c>
      <c r="D111" s="41">
        <f>REGISTRO_B.DATOS!D112</f>
        <v>0</v>
      </c>
      <c r="E111" s="42">
        <f>REGISTRO_B.DATOS!E112</f>
        <v>0</v>
      </c>
      <c r="F111" s="41">
        <f>REGISTRO_B.DATOS!F112</f>
        <v>0</v>
      </c>
      <c r="G111" s="41">
        <f>REGISTRO_B.DATOS!G112</f>
        <v>0</v>
      </c>
      <c r="H111" s="41">
        <f>REGISTRO_B.DATOS!H112</f>
        <v>0</v>
      </c>
      <c r="I111" s="41">
        <f>REGISTRO_B.DATOS!I112</f>
        <v>0</v>
      </c>
      <c r="J111" s="41">
        <f>REGISTRO_B.DATOS!J112</f>
        <v>0</v>
      </c>
      <c r="K111" s="43">
        <f>REGISTRO_B.DATOS!K112</f>
        <v>0</v>
      </c>
    </row>
    <row r="112" spans="1:11" x14ac:dyDescent="0.25">
      <c r="A112" s="40">
        <f>REGISTRO_B.DATOS!A113</f>
        <v>0</v>
      </c>
      <c r="B112" s="41">
        <f>REGISTRO_B.DATOS!B113</f>
        <v>0</v>
      </c>
      <c r="C112" s="41">
        <f>REGISTRO_B.DATOS!C113</f>
        <v>0</v>
      </c>
      <c r="D112" s="41">
        <f>REGISTRO_B.DATOS!D113</f>
        <v>0</v>
      </c>
      <c r="E112" s="42">
        <f>REGISTRO_B.DATOS!E113</f>
        <v>0</v>
      </c>
      <c r="F112" s="41">
        <f>REGISTRO_B.DATOS!F113</f>
        <v>0</v>
      </c>
      <c r="G112" s="41">
        <f>REGISTRO_B.DATOS!G113</f>
        <v>0</v>
      </c>
      <c r="H112" s="41">
        <f>REGISTRO_B.DATOS!H113</f>
        <v>0</v>
      </c>
      <c r="I112" s="41">
        <f>REGISTRO_B.DATOS!I113</f>
        <v>0</v>
      </c>
      <c r="J112" s="41">
        <f>REGISTRO_B.DATOS!J113</f>
        <v>0</v>
      </c>
      <c r="K112" s="43">
        <f>REGISTRO_B.DATOS!K113</f>
        <v>0</v>
      </c>
    </row>
    <row r="113" spans="1:11" x14ac:dyDescent="0.25">
      <c r="A113" s="40">
        <f>REGISTRO_B.DATOS!A114</f>
        <v>0</v>
      </c>
      <c r="B113" s="41">
        <f>REGISTRO_B.DATOS!B114</f>
        <v>0</v>
      </c>
      <c r="C113" s="41">
        <f>REGISTRO_B.DATOS!C114</f>
        <v>0</v>
      </c>
      <c r="D113" s="41">
        <f>REGISTRO_B.DATOS!D114</f>
        <v>0</v>
      </c>
      <c r="E113" s="42">
        <f>REGISTRO_B.DATOS!E114</f>
        <v>0</v>
      </c>
      <c r="F113" s="41">
        <f>REGISTRO_B.DATOS!F114</f>
        <v>0</v>
      </c>
      <c r="G113" s="41">
        <f>REGISTRO_B.DATOS!G114</f>
        <v>0</v>
      </c>
      <c r="H113" s="41">
        <f>REGISTRO_B.DATOS!H114</f>
        <v>0</v>
      </c>
      <c r="I113" s="41">
        <f>REGISTRO_B.DATOS!I114</f>
        <v>0</v>
      </c>
      <c r="J113" s="41">
        <f>REGISTRO_B.DATOS!J114</f>
        <v>0</v>
      </c>
      <c r="K113" s="43">
        <f>REGISTRO_B.DATOS!K114</f>
        <v>0</v>
      </c>
    </row>
    <row r="114" spans="1:11" x14ac:dyDescent="0.25">
      <c r="A114" s="40">
        <f>REGISTRO_B.DATOS!A115</f>
        <v>0</v>
      </c>
      <c r="B114" s="41">
        <f>REGISTRO_B.DATOS!B115</f>
        <v>0</v>
      </c>
      <c r="C114" s="41">
        <f>REGISTRO_B.DATOS!C115</f>
        <v>0</v>
      </c>
      <c r="D114" s="41">
        <f>REGISTRO_B.DATOS!D115</f>
        <v>0</v>
      </c>
      <c r="E114" s="42">
        <f>REGISTRO_B.DATOS!E115</f>
        <v>0</v>
      </c>
      <c r="F114" s="41">
        <f>REGISTRO_B.DATOS!F115</f>
        <v>0</v>
      </c>
      <c r="G114" s="41">
        <f>REGISTRO_B.DATOS!G115</f>
        <v>0</v>
      </c>
      <c r="H114" s="41">
        <f>REGISTRO_B.DATOS!H115</f>
        <v>0</v>
      </c>
      <c r="I114" s="41">
        <f>REGISTRO_B.DATOS!I115</f>
        <v>0</v>
      </c>
      <c r="J114" s="41">
        <f>REGISTRO_B.DATOS!J115</f>
        <v>0</v>
      </c>
      <c r="K114" s="43">
        <f>REGISTRO_B.DATOS!K115</f>
        <v>0</v>
      </c>
    </row>
    <row r="115" spans="1:11" x14ac:dyDescent="0.25">
      <c r="A115" s="40">
        <f>REGISTRO_B.DATOS!A116</f>
        <v>0</v>
      </c>
      <c r="B115" s="41">
        <f>REGISTRO_B.DATOS!B116</f>
        <v>0</v>
      </c>
      <c r="C115" s="41">
        <f>REGISTRO_B.DATOS!C116</f>
        <v>0</v>
      </c>
      <c r="D115" s="41">
        <f>REGISTRO_B.DATOS!D116</f>
        <v>0</v>
      </c>
      <c r="E115" s="42">
        <f>REGISTRO_B.DATOS!E116</f>
        <v>0</v>
      </c>
      <c r="F115" s="41">
        <f>REGISTRO_B.DATOS!F116</f>
        <v>0</v>
      </c>
      <c r="G115" s="41">
        <f>REGISTRO_B.DATOS!G116</f>
        <v>0</v>
      </c>
      <c r="H115" s="41">
        <f>REGISTRO_B.DATOS!H116</f>
        <v>0</v>
      </c>
      <c r="I115" s="41">
        <f>REGISTRO_B.DATOS!I116</f>
        <v>0</v>
      </c>
      <c r="J115" s="41">
        <f>REGISTRO_B.DATOS!J116</f>
        <v>0</v>
      </c>
      <c r="K115" s="43">
        <f>REGISTRO_B.DATOS!K116</f>
        <v>0</v>
      </c>
    </row>
    <row r="116" spans="1:11" x14ac:dyDescent="0.25">
      <c r="A116" s="40">
        <f>REGISTRO_B.DATOS!A117</f>
        <v>0</v>
      </c>
      <c r="B116" s="41">
        <f>REGISTRO_B.DATOS!B117</f>
        <v>0</v>
      </c>
      <c r="C116" s="41">
        <f>REGISTRO_B.DATOS!C117</f>
        <v>0</v>
      </c>
      <c r="D116" s="41">
        <f>REGISTRO_B.DATOS!D117</f>
        <v>0</v>
      </c>
      <c r="E116" s="42">
        <f>REGISTRO_B.DATOS!E117</f>
        <v>0</v>
      </c>
      <c r="F116" s="41">
        <f>REGISTRO_B.DATOS!F117</f>
        <v>0</v>
      </c>
      <c r="G116" s="41">
        <f>REGISTRO_B.DATOS!G117</f>
        <v>0</v>
      </c>
      <c r="H116" s="41">
        <f>REGISTRO_B.DATOS!H117</f>
        <v>0</v>
      </c>
      <c r="I116" s="41">
        <f>REGISTRO_B.DATOS!I117</f>
        <v>0</v>
      </c>
      <c r="J116" s="41">
        <f>REGISTRO_B.DATOS!J117</f>
        <v>0</v>
      </c>
      <c r="K116" s="43">
        <f>REGISTRO_B.DATOS!K117</f>
        <v>0</v>
      </c>
    </row>
    <row r="117" spans="1:11" x14ac:dyDescent="0.25">
      <c r="A117" s="40">
        <f>REGISTRO_B.DATOS!A118</f>
        <v>0</v>
      </c>
      <c r="B117" s="41">
        <f>REGISTRO_B.DATOS!B118</f>
        <v>0</v>
      </c>
      <c r="C117" s="41">
        <f>REGISTRO_B.DATOS!C118</f>
        <v>0</v>
      </c>
      <c r="D117" s="41">
        <f>REGISTRO_B.DATOS!D118</f>
        <v>0</v>
      </c>
      <c r="E117" s="42">
        <f>REGISTRO_B.DATOS!E118</f>
        <v>0</v>
      </c>
      <c r="F117" s="41">
        <f>REGISTRO_B.DATOS!F118</f>
        <v>0</v>
      </c>
      <c r="G117" s="41">
        <f>REGISTRO_B.DATOS!G118</f>
        <v>0</v>
      </c>
      <c r="H117" s="41">
        <f>REGISTRO_B.DATOS!H118</f>
        <v>0</v>
      </c>
      <c r="I117" s="41">
        <f>REGISTRO_B.DATOS!I118</f>
        <v>0</v>
      </c>
      <c r="J117" s="41">
        <f>REGISTRO_B.DATOS!J118</f>
        <v>0</v>
      </c>
      <c r="K117" s="43">
        <f>REGISTRO_B.DATOS!K118</f>
        <v>0</v>
      </c>
    </row>
    <row r="118" spans="1:11" x14ac:dyDescent="0.25">
      <c r="A118" s="40">
        <f>REGISTRO_B.DATOS!A119</f>
        <v>0</v>
      </c>
      <c r="B118" s="41">
        <f>REGISTRO_B.DATOS!B119</f>
        <v>0</v>
      </c>
      <c r="C118" s="41">
        <f>REGISTRO_B.DATOS!C119</f>
        <v>0</v>
      </c>
      <c r="D118" s="41">
        <f>REGISTRO_B.DATOS!D119</f>
        <v>0</v>
      </c>
      <c r="E118" s="42">
        <f>REGISTRO_B.DATOS!E119</f>
        <v>0</v>
      </c>
      <c r="F118" s="41">
        <f>REGISTRO_B.DATOS!F119</f>
        <v>0</v>
      </c>
      <c r="G118" s="41">
        <f>REGISTRO_B.DATOS!G119</f>
        <v>0</v>
      </c>
      <c r="H118" s="41">
        <f>REGISTRO_B.DATOS!H119</f>
        <v>0</v>
      </c>
      <c r="I118" s="41">
        <f>REGISTRO_B.DATOS!I119</f>
        <v>0</v>
      </c>
      <c r="J118" s="41">
        <f>REGISTRO_B.DATOS!J119</f>
        <v>0</v>
      </c>
      <c r="K118" s="43">
        <f>REGISTRO_B.DATOS!K119</f>
        <v>0</v>
      </c>
    </row>
    <row r="119" spans="1:11" x14ac:dyDescent="0.25">
      <c r="A119" s="40">
        <f>REGISTRO_B.DATOS!A120</f>
        <v>0</v>
      </c>
      <c r="B119" s="41">
        <f>REGISTRO_B.DATOS!B120</f>
        <v>0</v>
      </c>
      <c r="C119" s="41">
        <f>REGISTRO_B.DATOS!C120</f>
        <v>0</v>
      </c>
      <c r="D119" s="41">
        <f>REGISTRO_B.DATOS!D120</f>
        <v>0</v>
      </c>
      <c r="E119" s="42">
        <f>REGISTRO_B.DATOS!E120</f>
        <v>0</v>
      </c>
      <c r="F119" s="41">
        <f>REGISTRO_B.DATOS!F120</f>
        <v>0</v>
      </c>
      <c r="G119" s="41">
        <f>REGISTRO_B.DATOS!G120</f>
        <v>0</v>
      </c>
      <c r="H119" s="41">
        <f>REGISTRO_B.DATOS!H120</f>
        <v>0</v>
      </c>
      <c r="I119" s="41">
        <f>REGISTRO_B.DATOS!I120</f>
        <v>0</v>
      </c>
      <c r="J119" s="41">
        <f>REGISTRO_B.DATOS!J120</f>
        <v>0</v>
      </c>
      <c r="K119" s="43">
        <f>REGISTRO_B.DATOS!K120</f>
        <v>0</v>
      </c>
    </row>
    <row r="120" spans="1:11" x14ac:dyDescent="0.25">
      <c r="A120" s="40">
        <f>REGISTRO_B.DATOS!A121</f>
        <v>0</v>
      </c>
      <c r="B120" s="41">
        <f>REGISTRO_B.DATOS!B121</f>
        <v>0</v>
      </c>
      <c r="C120" s="41">
        <f>REGISTRO_B.DATOS!C121</f>
        <v>0</v>
      </c>
      <c r="D120" s="41">
        <f>REGISTRO_B.DATOS!D121</f>
        <v>0</v>
      </c>
      <c r="E120" s="42">
        <f>REGISTRO_B.DATOS!E121</f>
        <v>0</v>
      </c>
      <c r="F120" s="41">
        <f>REGISTRO_B.DATOS!F121</f>
        <v>0</v>
      </c>
      <c r="G120" s="41">
        <f>REGISTRO_B.DATOS!G121</f>
        <v>0</v>
      </c>
      <c r="H120" s="41">
        <f>REGISTRO_B.DATOS!H121</f>
        <v>0</v>
      </c>
      <c r="I120" s="41">
        <f>REGISTRO_B.DATOS!I121</f>
        <v>0</v>
      </c>
      <c r="J120" s="41">
        <f>REGISTRO_B.DATOS!J121</f>
        <v>0</v>
      </c>
      <c r="K120" s="43">
        <f>REGISTRO_B.DATOS!K121</f>
        <v>0</v>
      </c>
    </row>
    <row r="121" spans="1:11" x14ac:dyDescent="0.25">
      <c r="A121" s="40">
        <f>REGISTRO_B.DATOS!A122</f>
        <v>0</v>
      </c>
      <c r="B121" s="41">
        <f>REGISTRO_B.DATOS!B122</f>
        <v>0</v>
      </c>
      <c r="C121" s="41">
        <f>REGISTRO_B.DATOS!C122</f>
        <v>0</v>
      </c>
      <c r="D121" s="41">
        <f>REGISTRO_B.DATOS!D122</f>
        <v>0</v>
      </c>
      <c r="E121" s="42">
        <f>REGISTRO_B.DATOS!E122</f>
        <v>0</v>
      </c>
      <c r="F121" s="41">
        <f>REGISTRO_B.DATOS!F122</f>
        <v>0</v>
      </c>
      <c r="G121" s="41">
        <f>REGISTRO_B.DATOS!G122</f>
        <v>0</v>
      </c>
      <c r="H121" s="41">
        <f>REGISTRO_B.DATOS!H122</f>
        <v>0</v>
      </c>
      <c r="I121" s="41">
        <f>REGISTRO_B.DATOS!I122</f>
        <v>0</v>
      </c>
      <c r="J121" s="41">
        <f>REGISTRO_B.DATOS!J122</f>
        <v>0</v>
      </c>
      <c r="K121" s="43">
        <f>REGISTRO_B.DATOS!K122</f>
        <v>0</v>
      </c>
    </row>
    <row r="122" spans="1:11" x14ac:dyDescent="0.25">
      <c r="A122" s="40">
        <f>REGISTRO_B.DATOS!A123</f>
        <v>0</v>
      </c>
      <c r="B122" s="41">
        <f>REGISTRO_B.DATOS!B123</f>
        <v>0</v>
      </c>
      <c r="C122" s="41">
        <f>REGISTRO_B.DATOS!C123</f>
        <v>0</v>
      </c>
      <c r="D122" s="41">
        <f>REGISTRO_B.DATOS!D123</f>
        <v>0</v>
      </c>
      <c r="E122" s="42">
        <f>REGISTRO_B.DATOS!E123</f>
        <v>0</v>
      </c>
      <c r="F122" s="41">
        <f>REGISTRO_B.DATOS!F123</f>
        <v>0</v>
      </c>
      <c r="G122" s="41">
        <f>REGISTRO_B.DATOS!G123</f>
        <v>0</v>
      </c>
      <c r="H122" s="41">
        <f>REGISTRO_B.DATOS!H123</f>
        <v>0</v>
      </c>
      <c r="I122" s="41">
        <f>REGISTRO_B.DATOS!I123</f>
        <v>0</v>
      </c>
      <c r="J122" s="41">
        <f>REGISTRO_B.DATOS!J123</f>
        <v>0</v>
      </c>
      <c r="K122" s="43">
        <f>REGISTRO_B.DATOS!K123</f>
        <v>0</v>
      </c>
    </row>
    <row r="123" spans="1:11" x14ac:dyDescent="0.25">
      <c r="A123" s="40">
        <f>REGISTRO_B.DATOS!A124</f>
        <v>0</v>
      </c>
      <c r="B123" s="41">
        <f>REGISTRO_B.DATOS!B124</f>
        <v>0</v>
      </c>
      <c r="C123" s="41">
        <f>REGISTRO_B.DATOS!C124</f>
        <v>0</v>
      </c>
      <c r="D123" s="41">
        <f>REGISTRO_B.DATOS!D124</f>
        <v>0</v>
      </c>
      <c r="E123" s="42">
        <f>REGISTRO_B.DATOS!E124</f>
        <v>0</v>
      </c>
      <c r="F123" s="41">
        <f>REGISTRO_B.DATOS!F124</f>
        <v>0</v>
      </c>
      <c r="G123" s="41">
        <f>REGISTRO_B.DATOS!G124</f>
        <v>0</v>
      </c>
      <c r="H123" s="41">
        <f>REGISTRO_B.DATOS!H124</f>
        <v>0</v>
      </c>
      <c r="I123" s="41">
        <f>REGISTRO_B.DATOS!I124</f>
        <v>0</v>
      </c>
      <c r="J123" s="41">
        <f>REGISTRO_B.DATOS!J124</f>
        <v>0</v>
      </c>
      <c r="K123" s="43">
        <f>REGISTRO_B.DATOS!K124</f>
        <v>0</v>
      </c>
    </row>
    <row r="124" spans="1:11" x14ac:dyDescent="0.25">
      <c r="A124" s="40">
        <f>REGISTRO_B.DATOS!A125</f>
        <v>0</v>
      </c>
      <c r="B124" s="41">
        <f>REGISTRO_B.DATOS!B125</f>
        <v>0</v>
      </c>
      <c r="C124" s="41">
        <f>REGISTRO_B.DATOS!C125</f>
        <v>0</v>
      </c>
      <c r="D124" s="41">
        <f>REGISTRO_B.DATOS!D125</f>
        <v>0</v>
      </c>
      <c r="E124" s="42">
        <f>REGISTRO_B.DATOS!E125</f>
        <v>0</v>
      </c>
      <c r="F124" s="41">
        <f>REGISTRO_B.DATOS!F125</f>
        <v>0</v>
      </c>
      <c r="G124" s="41">
        <f>REGISTRO_B.DATOS!G125</f>
        <v>0</v>
      </c>
      <c r="H124" s="41">
        <f>REGISTRO_B.DATOS!H125</f>
        <v>0</v>
      </c>
      <c r="I124" s="41">
        <f>REGISTRO_B.DATOS!I125</f>
        <v>0</v>
      </c>
      <c r="J124" s="41">
        <f>REGISTRO_B.DATOS!J125</f>
        <v>0</v>
      </c>
      <c r="K124" s="43">
        <f>REGISTRO_B.DATOS!K125</f>
        <v>0</v>
      </c>
    </row>
    <row r="125" spans="1:11" x14ac:dyDescent="0.25">
      <c r="A125" s="40">
        <f>REGISTRO_B.DATOS!A126</f>
        <v>0</v>
      </c>
      <c r="B125" s="41">
        <f>REGISTRO_B.DATOS!B126</f>
        <v>0</v>
      </c>
      <c r="C125" s="41">
        <f>REGISTRO_B.DATOS!C126</f>
        <v>0</v>
      </c>
      <c r="D125" s="41">
        <f>REGISTRO_B.DATOS!D126</f>
        <v>0</v>
      </c>
      <c r="E125" s="42">
        <f>REGISTRO_B.DATOS!E126</f>
        <v>0</v>
      </c>
      <c r="F125" s="41">
        <f>REGISTRO_B.DATOS!F126</f>
        <v>0</v>
      </c>
      <c r="G125" s="41">
        <f>REGISTRO_B.DATOS!G126</f>
        <v>0</v>
      </c>
      <c r="H125" s="41">
        <f>REGISTRO_B.DATOS!H126</f>
        <v>0</v>
      </c>
      <c r="I125" s="41">
        <f>REGISTRO_B.DATOS!I126</f>
        <v>0</v>
      </c>
      <c r="J125" s="41">
        <f>REGISTRO_B.DATOS!J126</f>
        <v>0</v>
      </c>
      <c r="K125" s="43">
        <f>REGISTRO_B.DATOS!K126</f>
        <v>0</v>
      </c>
    </row>
    <row r="126" spans="1:11" x14ac:dyDescent="0.25">
      <c r="A126" s="40">
        <f>REGISTRO_B.DATOS!A127</f>
        <v>0</v>
      </c>
      <c r="B126" s="41">
        <f>REGISTRO_B.DATOS!B127</f>
        <v>0</v>
      </c>
      <c r="C126" s="41">
        <f>REGISTRO_B.DATOS!C127</f>
        <v>0</v>
      </c>
      <c r="D126" s="41">
        <f>REGISTRO_B.DATOS!D127</f>
        <v>0</v>
      </c>
      <c r="E126" s="42">
        <f>REGISTRO_B.DATOS!E127</f>
        <v>0</v>
      </c>
      <c r="F126" s="41">
        <f>REGISTRO_B.DATOS!F127</f>
        <v>0</v>
      </c>
      <c r="G126" s="41">
        <f>REGISTRO_B.DATOS!G127</f>
        <v>0</v>
      </c>
      <c r="H126" s="41">
        <f>REGISTRO_B.DATOS!H127</f>
        <v>0</v>
      </c>
      <c r="I126" s="41">
        <f>REGISTRO_B.DATOS!I127</f>
        <v>0</v>
      </c>
      <c r="J126" s="41">
        <f>REGISTRO_B.DATOS!J127</f>
        <v>0</v>
      </c>
      <c r="K126" s="43">
        <f>REGISTRO_B.DATOS!K127</f>
        <v>0</v>
      </c>
    </row>
    <row r="127" spans="1:11" x14ac:dyDescent="0.25">
      <c r="A127" s="40">
        <f>REGISTRO_B.DATOS!A128</f>
        <v>0</v>
      </c>
      <c r="B127" s="41">
        <f>REGISTRO_B.DATOS!B128</f>
        <v>0</v>
      </c>
      <c r="C127" s="41">
        <f>REGISTRO_B.DATOS!C128</f>
        <v>0</v>
      </c>
      <c r="D127" s="41">
        <f>REGISTRO_B.DATOS!D128</f>
        <v>0</v>
      </c>
      <c r="E127" s="42">
        <f>REGISTRO_B.DATOS!E128</f>
        <v>0</v>
      </c>
      <c r="F127" s="41">
        <f>REGISTRO_B.DATOS!F128</f>
        <v>0</v>
      </c>
      <c r="G127" s="41">
        <f>REGISTRO_B.DATOS!G128</f>
        <v>0</v>
      </c>
      <c r="H127" s="41">
        <f>REGISTRO_B.DATOS!H128</f>
        <v>0</v>
      </c>
      <c r="I127" s="41">
        <f>REGISTRO_B.DATOS!I128</f>
        <v>0</v>
      </c>
      <c r="J127" s="41">
        <f>REGISTRO_B.DATOS!J128</f>
        <v>0</v>
      </c>
      <c r="K127" s="43">
        <f>REGISTRO_B.DATOS!K128</f>
        <v>0</v>
      </c>
    </row>
    <row r="128" spans="1:11" x14ac:dyDescent="0.25">
      <c r="A128" s="40">
        <f>REGISTRO_B.DATOS!A129</f>
        <v>0</v>
      </c>
      <c r="B128" s="41">
        <f>REGISTRO_B.DATOS!B129</f>
        <v>0</v>
      </c>
      <c r="C128" s="41">
        <f>REGISTRO_B.DATOS!C129</f>
        <v>0</v>
      </c>
      <c r="D128" s="41">
        <f>REGISTRO_B.DATOS!D129</f>
        <v>0</v>
      </c>
      <c r="E128" s="42">
        <f>REGISTRO_B.DATOS!E129</f>
        <v>0</v>
      </c>
      <c r="F128" s="41">
        <f>REGISTRO_B.DATOS!F129</f>
        <v>0</v>
      </c>
      <c r="G128" s="41">
        <f>REGISTRO_B.DATOS!G129</f>
        <v>0</v>
      </c>
      <c r="H128" s="41">
        <f>REGISTRO_B.DATOS!H129</f>
        <v>0</v>
      </c>
      <c r="I128" s="41">
        <f>REGISTRO_B.DATOS!I129</f>
        <v>0</v>
      </c>
      <c r="J128" s="41">
        <f>REGISTRO_B.DATOS!J129</f>
        <v>0</v>
      </c>
      <c r="K128" s="43">
        <f>REGISTRO_B.DATOS!K129</f>
        <v>0</v>
      </c>
    </row>
    <row r="129" spans="1:11" x14ac:dyDescent="0.25">
      <c r="A129" s="40">
        <f>REGISTRO_B.DATOS!A130</f>
        <v>0</v>
      </c>
      <c r="B129" s="41">
        <f>REGISTRO_B.DATOS!B130</f>
        <v>0</v>
      </c>
      <c r="C129" s="41">
        <f>REGISTRO_B.DATOS!C130</f>
        <v>0</v>
      </c>
      <c r="D129" s="41">
        <f>REGISTRO_B.DATOS!D130</f>
        <v>0</v>
      </c>
      <c r="E129" s="42">
        <f>REGISTRO_B.DATOS!E130</f>
        <v>0</v>
      </c>
      <c r="F129" s="41">
        <f>REGISTRO_B.DATOS!F130</f>
        <v>0</v>
      </c>
      <c r="G129" s="41">
        <f>REGISTRO_B.DATOS!G130</f>
        <v>0</v>
      </c>
      <c r="H129" s="41">
        <f>REGISTRO_B.DATOS!H130</f>
        <v>0</v>
      </c>
      <c r="I129" s="41">
        <f>REGISTRO_B.DATOS!I130</f>
        <v>0</v>
      </c>
      <c r="J129" s="41">
        <f>REGISTRO_B.DATOS!J130</f>
        <v>0</v>
      </c>
      <c r="K129" s="43">
        <f>REGISTRO_B.DATOS!K130</f>
        <v>0</v>
      </c>
    </row>
    <row r="130" spans="1:11" x14ac:dyDescent="0.25">
      <c r="A130" s="40">
        <f>REGISTRO_B.DATOS!A131</f>
        <v>0</v>
      </c>
      <c r="B130" s="41">
        <f>REGISTRO_B.DATOS!B131</f>
        <v>0</v>
      </c>
      <c r="C130" s="41">
        <f>REGISTRO_B.DATOS!C131</f>
        <v>0</v>
      </c>
      <c r="D130" s="41">
        <f>REGISTRO_B.DATOS!D131</f>
        <v>0</v>
      </c>
      <c r="E130" s="42">
        <f>REGISTRO_B.DATOS!E131</f>
        <v>0</v>
      </c>
      <c r="F130" s="41">
        <f>REGISTRO_B.DATOS!F131</f>
        <v>0</v>
      </c>
      <c r="G130" s="41">
        <f>REGISTRO_B.DATOS!G131</f>
        <v>0</v>
      </c>
      <c r="H130" s="41">
        <f>REGISTRO_B.DATOS!H131</f>
        <v>0</v>
      </c>
      <c r="I130" s="41">
        <f>REGISTRO_B.DATOS!I131</f>
        <v>0</v>
      </c>
      <c r="J130" s="41">
        <f>REGISTRO_B.DATOS!J131</f>
        <v>0</v>
      </c>
      <c r="K130" s="43">
        <f>REGISTRO_B.DATOS!K131</f>
        <v>0</v>
      </c>
    </row>
    <row r="131" spans="1:11" x14ac:dyDescent="0.25">
      <c r="A131" s="40">
        <f>REGISTRO_B.DATOS!A132</f>
        <v>0</v>
      </c>
      <c r="B131" s="41">
        <f>REGISTRO_B.DATOS!B132</f>
        <v>0</v>
      </c>
      <c r="C131" s="41">
        <f>REGISTRO_B.DATOS!C132</f>
        <v>0</v>
      </c>
      <c r="D131" s="41">
        <f>REGISTRO_B.DATOS!D132</f>
        <v>0</v>
      </c>
      <c r="E131" s="42">
        <f>REGISTRO_B.DATOS!E132</f>
        <v>0</v>
      </c>
      <c r="F131" s="41">
        <f>REGISTRO_B.DATOS!F132</f>
        <v>0</v>
      </c>
      <c r="G131" s="41">
        <f>REGISTRO_B.DATOS!G132</f>
        <v>0</v>
      </c>
      <c r="H131" s="41">
        <f>REGISTRO_B.DATOS!H132</f>
        <v>0</v>
      </c>
      <c r="I131" s="41">
        <f>REGISTRO_B.DATOS!I132</f>
        <v>0</v>
      </c>
      <c r="J131" s="41">
        <f>REGISTRO_B.DATOS!J132</f>
        <v>0</v>
      </c>
      <c r="K131" s="43">
        <f>REGISTRO_B.DATOS!K132</f>
        <v>0</v>
      </c>
    </row>
    <row r="132" spans="1:11" x14ac:dyDescent="0.25">
      <c r="A132" s="40">
        <f>REGISTRO_B.DATOS!A133</f>
        <v>0</v>
      </c>
      <c r="B132" s="41">
        <f>REGISTRO_B.DATOS!B133</f>
        <v>0</v>
      </c>
      <c r="C132" s="41">
        <f>REGISTRO_B.DATOS!C133</f>
        <v>0</v>
      </c>
      <c r="D132" s="41">
        <f>REGISTRO_B.DATOS!D133</f>
        <v>0</v>
      </c>
      <c r="E132" s="42">
        <f>REGISTRO_B.DATOS!E133</f>
        <v>0</v>
      </c>
      <c r="F132" s="41">
        <f>REGISTRO_B.DATOS!F133</f>
        <v>0</v>
      </c>
      <c r="G132" s="41">
        <f>REGISTRO_B.DATOS!G133</f>
        <v>0</v>
      </c>
      <c r="H132" s="41">
        <f>REGISTRO_B.DATOS!H133</f>
        <v>0</v>
      </c>
      <c r="I132" s="41">
        <f>REGISTRO_B.DATOS!I133</f>
        <v>0</v>
      </c>
      <c r="J132" s="41">
        <f>REGISTRO_B.DATOS!J133</f>
        <v>0</v>
      </c>
      <c r="K132" s="43">
        <f>REGISTRO_B.DATOS!K133</f>
        <v>0</v>
      </c>
    </row>
    <row r="133" spans="1:11" x14ac:dyDescent="0.25">
      <c r="A133" s="40">
        <f>REGISTRO_B.DATOS!A134</f>
        <v>0</v>
      </c>
      <c r="B133" s="41">
        <f>REGISTRO_B.DATOS!B134</f>
        <v>0</v>
      </c>
      <c r="C133" s="41">
        <f>REGISTRO_B.DATOS!C134</f>
        <v>0</v>
      </c>
      <c r="D133" s="41">
        <f>REGISTRO_B.DATOS!D134</f>
        <v>0</v>
      </c>
      <c r="E133" s="42">
        <f>REGISTRO_B.DATOS!E134</f>
        <v>0</v>
      </c>
      <c r="F133" s="41">
        <f>REGISTRO_B.DATOS!F134</f>
        <v>0</v>
      </c>
      <c r="G133" s="41">
        <f>REGISTRO_B.DATOS!G134</f>
        <v>0</v>
      </c>
      <c r="H133" s="41">
        <f>REGISTRO_B.DATOS!H134</f>
        <v>0</v>
      </c>
      <c r="I133" s="41">
        <f>REGISTRO_B.DATOS!I134</f>
        <v>0</v>
      </c>
      <c r="J133" s="41">
        <f>REGISTRO_B.DATOS!J134</f>
        <v>0</v>
      </c>
      <c r="K133" s="43">
        <f>REGISTRO_B.DATOS!K134</f>
        <v>0</v>
      </c>
    </row>
    <row r="134" spans="1:11" x14ac:dyDescent="0.25">
      <c r="A134" s="40">
        <f>REGISTRO_B.DATOS!A135</f>
        <v>0</v>
      </c>
      <c r="B134" s="41">
        <f>REGISTRO_B.DATOS!B135</f>
        <v>0</v>
      </c>
      <c r="C134" s="41">
        <f>REGISTRO_B.DATOS!C135</f>
        <v>0</v>
      </c>
      <c r="D134" s="41">
        <f>REGISTRO_B.DATOS!D135</f>
        <v>0</v>
      </c>
      <c r="E134" s="42">
        <f>REGISTRO_B.DATOS!E135</f>
        <v>0</v>
      </c>
      <c r="F134" s="41">
        <f>REGISTRO_B.DATOS!F135</f>
        <v>0</v>
      </c>
      <c r="G134" s="41">
        <f>REGISTRO_B.DATOS!G135</f>
        <v>0</v>
      </c>
      <c r="H134" s="41">
        <f>REGISTRO_B.DATOS!H135</f>
        <v>0</v>
      </c>
      <c r="I134" s="41">
        <f>REGISTRO_B.DATOS!I135</f>
        <v>0</v>
      </c>
      <c r="J134" s="41">
        <f>REGISTRO_B.DATOS!J135</f>
        <v>0</v>
      </c>
      <c r="K134" s="43">
        <f>REGISTRO_B.DATOS!K135</f>
        <v>0</v>
      </c>
    </row>
    <row r="135" spans="1:11" x14ac:dyDescent="0.25">
      <c r="A135" s="40">
        <f>REGISTRO_B.DATOS!A136</f>
        <v>0</v>
      </c>
      <c r="B135" s="41">
        <f>REGISTRO_B.DATOS!B136</f>
        <v>0</v>
      </c>
      <c r="C135" s="41">
        <f>REGISTRO_B.DATOS!C136</f>
        <v>0</v>
      </c>
      <c r="D135" s="41">
        <f>REGISTRO_B.DATOS!D136</f>
        <v>0</v>
      </c>
      <c r="E135" s="42">
        <f>REGISTRO_B.DATOS!E136</f>
        <v>0</v>
      </c>
      <c r="F135" s="41">
        <f>REGISTRO_B.DATOS!F136</f>
        <v>0</v>
      </c>
      <c r="G135" s="41">
        <f>REGISTRO_B.DATOS!G136</f>
        <v>0</v>
      </c>
      <c r="H135" s="41">
        <f>REGISTRO_B.DATOS!H136</f>
        <v>0</v>
      </c>
      <c r="I135" s="41">
        <f>REGISTRO_B.DATOS!I136</f>
        <v>0</v>
      </c>
      <c r="J135" s="41">
        <f>REGISTRO_B.DATOS!J136</f>
        <v>0</v>
      </c>
      <c r="K135" s="43">
        <f>REGISTRO_B.DATOS!K136</f>
        <v>0</v>
      </c>
    </row>
    <row r="136" spans="1:11" x14ac:dyDescent="0.25">
      <c r="A136" s="40">
        <f>REGISTRO_B.DATOS!A137</f>
        <v>0</v>
      </c>
      <c r="B136" s="41">
        <f>REGISTRO_B.DATOS!B137</f>
        <v>0</v>
      </c>
      <c r="C136" s="41">
        <f>REGISTRO_B.DATOS!C137</f>
        <v>0</v>
      </c>
      <c r="D136" s="41">
        <f>REGISTRO_B.DATOS!D137</f>
        <v>0</v>
      </c>
      <c r="E136" s="42">
        <f>REGISTRO_B.DATOS!E137</f>
        <v>0</v>
      </c>
      <c r="F136" s="41">
        <f>REGISTRO_B.DATOS!F137</f>
        <v>0</v>
      </c>
      <c r="G136" s="41">
        <f>REGISTRO_B.DATOS!G137</f>
        <v>0</v>
      </c>
      <c r="H136" s="41">
        <f>REGISTRO_B.DATOS!H137</f>
        <v>0</v>
      </c>
      <c r="I136" s="41">
        <f>REGISTRO_B.DATOS!I137</f>
        <v>0</v>
      </c>
      <c r="J136" s="41">
        <f>REGISTRO_B.DATOS!J137</f>
        <v>0</v>
      </c>
      <c r="K136" s="43">
        <f>REGISTRO_B.DATOS!K137</f>
        <v>0</v>
      </c>
    </row>
    <row r="137" spans="1:11" x14ac:dyDescent="0.25">
      <c r="A137" s="40">
        <f>REGISTRO_B.DATOS!A138</f>
        <v>0</v>
      </c>
      <c r="B137" s="41">
        <f>REGISTRO_B.DATOS!B138</f>
        <v>0</v>
      </c>
      <c r="C137" s="41">
        <f>REGISTRO_B.DATOS!C138</f>
        <v>0</v>
      </c>
      <c r="D137" s="41">
        <f>REGISTRO_B.DATOS!D138</f>
        <v>0</v>
      </c>
      <c r="E137" s="42">
        <f>REGISTRO_B.DATOS!E138</f>
        <v>0</v>
      </c>
      <c r="F137" s="41">
        <f>REGISTRO_B.DATOS!F138</f>
        <v>0</v>
      </c>
      <c r="G137" s="41">
        <f>REGISTRO_B.DATOS!G138</f>
        <v>0</v>
      </c>
      <c r="H137" s="41">
        <f>REGISTRO_B.DATOS!H138</f>
        <v>0</v>
      </c>
      <c r="I137" s="41">
        <f>REGISTRO_B.DATOS!I138</f>
        <v>0</v>
      </c>
      <c r="J137" s="41">
        <f>REGISTRO_B.DATOS!J138</f>
        <v>0</v>
      </c>
      <c r="K137" s="43">
        <f>REGISTRO_B.DATOS!K138</f>
        <v>0</v>
      </c>
    </row>
    <row r="138" spans="1:11" x14ac:dyDescent="0.25">
      <c r="A138" s="40">
        <f>REGISTRO_B.DATOS!A139</f>
        <v>0</v>
      </c>
      <c r="B138" s="41">
        <f>REGISTRO_B.DATOS!B139</f>
        <v>0</v>
      </c>
      <c r="C138" s="41">
        <f>REGISTRO_B.DATOS!C139</f>
        <v>0</v>
      </c>
      <c r="D138" s="41">
        <f>REGISTRO_B.DATOS!D139</f>
        <v>0</v>
      </c>
      <c r="E138" s="42">
        <f>REGISTRO_B.DATOS!E139</f>
        <v>0</v>
      </c>
      <c r="F138" s="41">
        <f>REGISTRO_B.DATOS!F139</f>
        <v>0</v>
      </c>
      <c r="G138" s="41">
        <f>REGISTRO_B.DATOS!G139</f>
        <v>0</v>
      </c>
      <c r="H138" s="41">
        <f>REGISTRO_B.DATOS!H139</f>
        <v>0</v>
      </c>
      <c r="I138" s="41">
        <f>REGISTRO_B.DATOS!I139</f>
        <v>0</v>
      </c>
      <c r="J138" s="41">
        <f>REGISTRO_B.DATOS!J139</f>
        <v>0</v>
      </c>
      <c r="K138" s="43">
        <f>REGISTRO_B.DATOS!K139</f>
        <v>0</v>
      </c>
    </row>
    <row r="139" spans="1:11" x14ac:dyDescent="0.25">
      <c r="A139" s="40">
        <f>REGISTRO_B.DATOS!A140</f>
        <v>0</v>
      </c>
      <c r="B139" s="41">
        <f>REGISTRO_B.DATOS!B140</f>
        <v>0</v>
      </c>
      <c r="C139" s="41">
        <f>REGISTRO_B.DATOS!C140</f>
        <v>0</v>
      </c>
      <c r="D139" s="41">
        <f>REGISTRO_B.DATOS!D140</f>
        <v>0</v>
      </c>
      <c r="E139" s="42">
        <f>REGISTRO_B.DATOS!E140</f>
        <v>0</v>
      </c>
      <c r="F139" s="41">
        <f>REGISTRO_B.DATOS!F140</f>
        <v>0</v>
      </c>
      <c r="G139" s="41">
        <f>REGISTRO_B.DATOS!G140</f>
        <v>0</v>
      </c>
      <c r="H139" s="41">
        <f>REGISTRO_B.DATOS!H140</f>
        <v>0</v>
      </c>
      <c r="I139" s="41">
        <f>REGISTRO_B.DATOS!I140</f>
        <v>0</v>
      </c>
      <c r="J139" s="41">
        <f>REGISTRO_B.DATOS!J140</f>
        <v>0</v>
      </c>
      <c r="K139" s="43">
        <f>REGISTRO_B.DATOS!K140</f>
        <v>0</v>
      </c>
    </row>
    <row r="140" spans="1:11" x14ac:dyDescent="0.25">
      <c r="A140" s="40">
        <f>REGISTRO_B.DATOS!A141</f>
        <v>0</v>
      </c>
      <c r="B140" s="41">
        <f>REGISTRO_B.DATOS!B141</f>
        <v>0</v>
      </c>
      <c r="C140" s="41">
        <f>REGISTRO_B.DATOS!C141</f>
        <v>0</v>
      </c>
      <c r="D140" s="41">
        <f>REGISTRO_B.DATOS!D141</f>
        <v>0</v>
      </c>
      <c r="E140" s="42">
        <f>REGISTRO_B.DATOS!E141</f>
        <v>0</v>
      </c>
      <c r="F140" s="41">
        <f>REGISTRO_B.DATOS!F141</f>
        <v>0</v>
      </c>
      <c r="G140" s="41">
        <f>REGISTRO_B.DATOS!G141</f>
        <v>0</v>
      </c>
      <c r="H140" s="41">
        <f>REGISTRO_B.DATOS!H141</f>
        <v>0</v>
      </c>
      <c r="I140" s="41">
        <f>REGISTRO_B.DATOS!I141</f>
        <v>0</v>
      </c>
      <c r="J140" s="41">
        <f>REGISTRO_B.DATOS!J141</f>
        <v>0</v>
      </c>
      <c r="K140" s="43">
        <f>REGISTRO_B.DATOS!K141</f>
        <v>0</v>
      </c>
    </row>
    <row r="141" spans="1:11" x14ac:dyDescent="0.25">
      <c r="A141" s="40">
        <f>REGISTRO_B.DATOS!A142</f>
        <v>0</v>
      </c>
      <c r="B141" s="41">
        <f>REGISTRO_B.DATOS!B142</f>
        <v>0</v>
      </c>
      <c r="C141" s="41">
        <f>REGISTRO_B.DATOS!C142</f>
        <v>0</v>
      </c>
      <c r="D141" s="41">
        <f>REGISTRO_B.DATOS!D142</f>
        <v>0</v>
      </c>
      <c r="E141" s="42">
        <f>REGISTRO_B.DATOS!E142</f>
        <v>0</v>
      </c>
      <c r="F141" s="41">
        <f>REGISTRO_B.DATOS!F142</f>
        <v>0</v>
      </c>
      <c r="G141" s="41">
        <f>REGISTRO_B.DATOS!G142</f>
        <v>0</v>
      </c>
      <c r="H141" s="41">
        <f>REGISTRO_B.DATOS!H142</f>
        <v>0</v>
      </c>
      <c r="I141" s="41">
        <f>REGISTRO_B.DATOS!I142</f>
        <v>0</v>
      </c>
      <c r="J141" s="41">
        <f>REGISTRO_B.DATOS!J142</f>
        <v>0</v>
      </c>
      <c r="K141" s="43">
        <f>REGISTRO_B.DATOS!K142</f>
        <v>0</v>
      </c>
    </row>
    <row r="142" spans="1:11" x14ac:dyDescent="0.25">
      <c r="A142" s="40">
        <f>REGISTRO_B.DATOS!A143</f>
        <v>0</v>
      </c>
      <c r="B142" s="41">
        <f>REGISTRO_B.DATOS!B143</f>
        <v>0</v>
      </c>
      <c r="C142" s="41">
        <f>REGISTRO_B.DATOS!C143</f>
        <v>0</v>
      </c>
      <c r="D142" s="41">
        <f>REGISTRO_B.DATOS!D143</f>
        <v>0</v>
      </c>
      <c r="E142" s="42">
        <f>REGISTRO_B.DATOS!E143</f>
        <v>0</v>
      </c>
      <c r="F142" s="41">
        <f>REGISTRO_B.DATOS!F143</f>
        <v>0</v>
      </c>
      <c r="G142" s="41">
        <f>REGISTRO_B.DATOS!G143</f>
        <v>0</v>
      </c>
      <c r="H142" s="41">
        <f>REGISTRO_B.DATOS!H143</f>
        <v>0</v>
      </c>
      <c r="I142" s="41">
        <f>REGISTRO_B.DATOS!I143</f>
        <v>0</v>
      </c>
      <c r="J142" s="41">
        <f>REGISTRO_B.DATOS!J143</f>
        <v>0</v>
      </c>
      <c r="K142" s="43">
        <f>REGISTRO_B.DATOS!K143</f>
        <v>0</v>
      </c>
    </row>
    <row r="143" spans="1:11" x14ac:dyDescent="0.25">
      <c r="A143" s="40">
        <f>REGISTRO_B.DATOS!A144</f>
        <v>0</v>
      </c>
      <c r="B143" s="41">
        <f>REGISTRO_B.DATOS!B144</f>
        <v>0</v>
      </c>
      <c r="C143" s="41">
        <f>REGISTRO_B.DATOS!C144</f>
        <v>0</v>
      </c>
      <c r="D143" s="41">
        <f>REGISTRO_B.DATOS!D144</f>
        <v>0</v>
      </c>
      <c r="E143" s="42">
        <f>REGISTRO_B.DATOS!E144</f>
        <v>0</v>
      </c>
      <c r="F143" s="41">
        <f>REGISTRO_B.DATOS!F144</f>
        <v>0</v>
      </c>
      <c r="G143" s="41">
        <f>REGISTRO_B.DATOS!G144</f>
        <v>0</v>
      </c>
      <c r="H143" s="41">
        <f>REGISTRO_B.DATOS!H144</f>
        <v>0</v>
      </c>
      <c r="I143" s="41">
        <f>REGISTRO_B.DATOS!I144</f>
        <v>0</v>
      </c>
      <c r="J143" s="41">
        <f>REGISTRO_B.DATOS!J144</f>
        <v>0</v>
      </c>
      <c r="K143" s="43">
        <f>REGISTRO_B.DATOS!K144</f>
        <v>0</v>
      </c>
    </row>
    <row r="144" spans="1:11" x14ac:dyDescent="0.25">
      <c r="A144" s="40">
        <f>REGISTRO_B.DATOS!A145</f>
        <v>0</v>
      </c>
      <c r="B144" s="41">
        <f>REGISTRO_B.DATOS!B145</f>
        <v>0</v>
      </c>
      <c r="C144" s="41">
        <f>REGISTRO_B.DATOS!C145</f>
        <v>0</v>
      </c>
      <c r="D144" s="41">
        <f>REGISTRO_B.DATOS!D145</f>
        <v>0</v>
      </c>
      <c r="E144" s="42">
        <f>REGISTRO_B.DATOS!E145</f>
        <v>0</v>
      </c>
      <c r="F144" s="41">
        <f>REGISTRO_B.DATOS!F145</f>
        <v>0</v>
      </c>
      <c r="G144" s="41">
        <f>REGISTRO_B.DATOS!G145</f>
        <v>0</v>
      </c>
      <c r="H144" s="41">
        <f>REGISTRO_B.DATOS!H145</f>
        <v>0</v>
      </c>
      <c r="I144" s="41">
        <f>REGISTRO_B.DATOS!I145</f>
        <v>0</v>
      </c>
      <c r="J144" s="41">
        <f>REGISTRO_B.DATOS!J145</f>
        <v>0</v>
      </c>
      <c r="K144" s="43">
        <f>REGISTRO_B.DATOS!K145</f>
        <v>0</v>
      </c>
    </row>
    <row r="145" spans="1:11" x14ac:dyDescent="0.25">
      <c r="A145" s="40">
        <f>REGISTRO_B.DATOS!A146</f>
        <v>0</v>
      </c>
      <c r="B145" s="41">
        <f>REGISTRO_B.DATOS!B146</f>
        <v>0</v>
      </c>
      <c r="C145" s="41">
        <f>REGISTRO_B.DATOS!C146</f>
        <v>0</v>
      </c>
      <c r="D145" s="41">
        <f>REGISTRO_B.DATOS!D146</f>
        <v>0</v>
      </c>
      <c r="E145" s="42">
        <f>REGISTRO_B.DATOS!E146</f>
        <v>0</v>
      </c>
      <c r="F145" s="41">
        <f>REGISTRO_B.DATOS!F146</f>
        <v>0</v>
      </c>
      <c r="G145" s="41">
        <f>REGISTRO_B.DATOS!G146</f>
        <v>0</v>
      </c>
      <c r="H145" s="41">
        <f>REGISTRO_B.DATOS!H146</f>
        <v>0</v>
      </c>
      <c r="I145" s="41">
        <f>REGISTRO_B.DATOS!I146</f>
        <v>0</v>
      </c>
      <c r="J145" s="41">
        <f>REGISTRO_B.DATOS!J146</f>
        <v>0</v>
      </c>
      <c r="K145" s="43">
        <f>REGISTRO_B.DATOS!K146</f>
        <v>0</v>
      </c>
    </row>
    <row r="146" spans="1:11" x14ac:dyDescent="0.25">
      <c r="A146" s="40">
        <f>REGISTRO_B.DATOS!A147</f>
        <v>0</v>
      </c>
      <c r="B146" s="41">
        <f>REGISTRO_B.DATOS!B147</f>
        <v>0</v>
      </c>
      <c r="C146" s="41">
        <f>REGISTRO_B.DATOS!C147</f>
        <v>0</v>
      </c>
      <c r="D146" s="41">
        <f>REGISTRO_B.DATOS!D147</f>
        <v>0</v>
      </c>
      <c r="E146" s="42">
        <f>REGISTRO_B.DATOS!E147</f>
        <v>0</v>
      </c>
      <c r="F146" s="41">
        <f>REGISTRO_B.DATOS!F147</f>
        <v>0</v>
      </c>
      <c r="G146" s="41">
        <f>REGISTRO_B.DATOS!G147</f>
        <v>0</v>
      </c>
      <c r="H146" s="41">
        <f>REGISTRO_B.DATOS!H147</f>
        <v>0</v>
      </c>
      <c r="I146" s="41">
        <f>REGISTRO_B.DATOS!I147</f>
        <v>0</v>
      </c>
      <c r="J146" s="41">
        <f>REGISTRO_B.DATOS!J147</f>
        <v>0</v>
      </c>
      <c r="K146" s="43">
        <f>REGISTRO_B.DATOS!K147</f>
        <v>0</v>
      </c>
    </row>
    <row r="147" spans="1:11" x14ac:dyDescent="0.25">
      <c r="A147" s="40">
        <f>REGISTRO_B.DATOS!A148</f>
        <v>0</v>
      </c>
      <c r="B147" s="41">
        <f>REGISTRO_B.DATOS!B148</f>
        <v>0</v>
      </c>
      <c r="C147" s="41">
        <f>REGISTRO_B.DATOS!C148</f>
        <v>0</v>
      </c>
      <c r="D147" s="41">
        <f>REGISTRO_B.DATOS!D148</f>
        <v>0</v>
      </c>
      <c r="E147" s="42">
        <f>REGISTRO_B.DATOS!E148</f>
        <v>0</v>
      </c>
      <c r="F147" s="41">
        <f>REGISTRO_B.DATOS!F148</f>
        <v>0</v>
      </c>
      <c r="G147" s="41">
        <f>REGISTRO_B.DATOS!G148</f>
        <v>0</v>
      </c>
      <c r="H147" s="41">
        <f>REGISTRO_B.DATOS!H148</f>
        <v>0</v>
      </c>
      <c r="I147" s="41">
        <f>REGISTRO_B.DATOS!I148</f>
        <v>0</v>
      </c>
      <c r="J147" s="41">
        <f>REGISTRO_B.DATOS!J148</f>
        <v>0</v>
      </c>
      <c r="K147" s="43">
        <f>REGISTRO_B.DATOS!K148</f>
        <v>0</v>
      </c>
    </row>
    <row r="148" spans="1:11" x14ac:dyDescent="0.25">
      <c r="A148" s="40">
        <f>REGISTRO_B.DATOS!A149</f>
        <v>0</v>
      </c>
      <c r="B148" s="41">
        <f>REGISTRO_B.DATOS!B149</f>
        <v>0</v>
      </c>
      <c r="C148" s="41">
        <f>REGISTRO_B.DATOS!C149</f>
        <v>0</v>
      </c>
      <c r="D148" s="41">
        <f>REGISTRO_B.DATOS!D149</f>
        <v>0</v>
      </c>
      <c r="E148" s="42">
        <f>REGISTRO_B.DATOS!E149</f>
        <v>0</v>
      </c>
      <c r="F148" s="41">
        <f>REGISTRO_B.DATOS!F149</f>
        <v>0</v>
      </c>
      <c r="G148" s="41">
        <f>REGISTRO_B.DATOS!G149</f>
        <v>0</v>
      </c>
      <c r="H148" s="41">
        <f>REGISTRO_B.DATOS!H149</f>
        <v>0</v>
      </c>
      <c r="I148" s="41">
        <f>REGISTRO_B.DATOS!I149</f>
        <v>0</v>
      </c>
      <c r="J148" s="41">
        <f>REGISTRO_B.DATOS!J149</f>
        <v>0</v>
      </c>
      <c r="K148" s="43">
        <f>REGISTRO_B.DATOS!K149</f>
        <v>0</v>
      </c>
    </row>
    <row r="149" spans="1:11" x14ac:dyDescent="0.25">
      <c r="A149" s="40">
        <f>REGISTRO_B.DATOS!A150</f>
        <v>0</v>
      </c>
      <c r="B149" s="41">
        <f>REGISTRO_B.DATOS!B150</f>
        <v>0</v>
      </c>
      <c r="C149" s="41">
        <f>REGISTRO_B.DATOS!C150</f>
        <v>0</v>
      </c>
      <c r="D149" s="41">
        <f>REGISTRO_B.DATOS!D150</f>
        <v>0</v>
      </c>
      <c r="E149" s="42">
        <f>REGISTRO_B.DATOS!E150</f>
        <v>0</v>
      </c>
      <c r="F149" s="41">
        <f>REGISTRO_B.DATOS!F150</f>
        <v>0</v>
      </c>
      <c r="G149" s="41">
        <f>REGISTRO_B.DATOS!G150</f>
        <v>0</v>
      </c>
      <c r="H149" s="41">
        <f>REGISTRO_B.DATOS!H150</f>
        <v>0</v>
      </c>
      <c r="I149" s="41">
        <f>REGISTRO_B.DATOS!I150</f>
        <v>0</v>
      </c>
      <c r="J149" s="41">
        <f>REGISTRO_B.DATOS!J150</f>
        <v>0</v>
      </c>
      <c r="K149" s="43">
        <f>REGISTRO_B.DATOS!K150</f>
        <v>0</v>
      </c>
    </row>
    <row r="150" spans="1:11" x14ac:dyDescent="0.25">
      <c r="A150" s="40">
        <f>REGISTRO_B.DATOS!A151</f>
        <v>0</v>
      </c>
      <c r="B150" s="41">
        <f>REGISTRO_B.DATOS!B151</f>
        <v>0</v>
      </c>
      <c r="C150" s="41">
        <f>REGISTRO_B.DATOS!C151</f>
        <v>0</v>
      </c>
      <c r="D150" s="41">
        <f>REGISTRO_B.DATOS!D151</f>
        <v>0</v>
      </c>
      <c r="E150" s="42">
        <f>REGISTRO_B.DATOS!E151</f>
        <v>0</v>
      </c>
      <c r="F150" s="41">
        <f>REGISTRO_B.DATOS!F151</f>
        <v>0</v>
      </c>
      <c r="G150" s="41">
        <f>REGISTRO_B.DATOS!G151</f>
        <v>0</v>
      </c>
      <c r="H150" s="41">
        <f>REGISTRO_B.DATOS!H151</f>
        <v>0</v>
      </c>
      <c r="I150" s="41">
        <f>REGISTRO_B.DATOS!I151</f>
        <v>0</v>
      </c>
      <c r="J150" s="41">
        <f>REGISTRO_B.DATOS!J151</f>
        <v>0</v>
      </c>
      <c r="K150" s="43">
        <f>REGISTRO_B.DATOS!K151</f>
        <v>0</v>
      </c>
    </row>
    <row r="151" spans="1:11" x14ac:dyDescent="0.25">
      <c r="A151" s="40">
        <f>REGISTRO_B.DATOS!A152</f>
        <v>0</v>
      </c>
      <c r="B151" s="41">
        <f>REGISTRO_B.DATOS!B152</f>
        <v>0</v>
      </c>
      <c r="C151" s="41">
        <f>REGISTRO_B.DATOS!C152</f>
        <v>0</v>
      </c>
      <c r="D151" s="41">
        <f>REGISTRO_B.DATOS!D152</f>
        <v>0</v>
      </c>
      <c r="E151" s="42">
        <f>REGISTRO_B.DATOS!E152</f>
        <v>0</v>
      </c>
      <c r="F151" s="41">
        <f>REGISTRO_B.DATOS!F152</f>
        <v>0</v>
      </c>
      <c r="G151" s="41">
        <f>REGISTRO_B.DATOS!G152</f>
        <v>0</v>
      </c>
      <c r="H151" s="41">
        <f>REGISTRO_B.DATOS!H152</f>
        <v>0</v>
      </c>
      <c r="I151" s="41">
        <f>REGISTRO_B.DATOS!I152</f>
        <v>0</v>
      </c>
      <c r="J151" s="41">
        <f>REGISTRO_B.DATOS!J152</f>
        <v>0</v>
      </c>
      <c r="K151" s="43">
        <f>REGISTRO_B.DATOS!K152</f>
        <v>0</v>
      </c>
    </row>
    <row r="152" spans="1:11" x14ac:dyDescent="0.25">
      <c r="A152" s="40">
        <f>REGISTRO_B.DATOS!A153</f>
        <v>0</v>
      </c>
      <c r="B152" s="41">
        <f>REGISTRO_B.DATOS!B153</f>
        <v>0</v>
      </c>
      <c r="C152" s="41">
        <f>REGISTRO_B.DATOS!C153</f>
        <v>0</v>
      </c>
      <c r="D152" s="41">
        <f>REGISTRO_B.DATOS!D153</f>
        <v>0</v>
      </c>
      <c r="E152" s="42">
        <f>REGISTRO_B.DATOS!E153</f>
        <v>0</v>
      </c>
      <c r="F152" s="41">
        <f>REGISTRO_B.DATOS!F153</f>
        <v>0</v>
      </c>
      <c r="G152" s="41">
        <f>REGISTRO_B.DATOS!G153</f>
        <v>0</v>
      </c>
      <c r="H152" s="41">
        <f>REGISTRO_B.DATOS!H153</f>
        <v>0</v>
      </c>
      <c r="I152" s="41">
        <f>REGISTRO_B.DATOS!I153</f>
        <v>0</v>
      </c>
      <c r="J152" s="41">
        <f>REGISTRO_B.DATOS!J153</f>
        <v>0</v>
      </c>
      <c r="K152" s="43">
        <f>REGISTRO_B.DATOS!K153</f>
        <v>0</v>
      </c>
    </row>
    <row r="153" spans="1:11" x14ac:dyDescent="0.25">
      <c r="A153" s="40">
        <f>REGISTRO_B.DATOS!A154</f>
        <v>0</v>
      </c>
      <c r="B153" s="41">
        <f>REGISTRO_B.DATOS!B154</f>
        <v>0</v>
      </c>
      <c r="C153" s="41">
        <f>REGISTRO_B.DATOS!C154</f>
        <v>0</v>
      </c>
      <c r="D153" s="41">
        <f>REGISTRO_B.DATOS!D154</f>
        <v>0</v>
      </c>
      <c r="E153" s="42">
        <f>REGISTRO_B.DATOS!E154</f>
        <v>0</v>
      </c>
      <c r="F153" s="41">
        <f>REGISTRO_B.DATOS!F154</f>
        <v>0</v>
      </c>
      <c r="G153" s="41">
        <f>REGISTRO_B.DATOS!G154</f>
        <v>0</v>
      </c>
      <c r="H153" s="41">
        <f>REGISTRO_B.DATOS!H154</f>
        <v>0</v>
      </c>
      <c r="I153" s="41">
        <f>REGISTRO_B.DATOS!I154</f>
        <v>0</v>
      </c>
      <c r="J153" s="41">
        <f>REGISTRO_B.DATOS!J154</f>
        <v>0</v>
      </c>
      <c r="K153" s="43">
        <f>REGISTRO_B.DATOS!K154</f>
        <v>0</v>
      </c>
    </row>
    <row r="154" spans="1:11" x14ac:dyDescent="0.25">
      <c r="A154" s="40">
        <f>REGISTRO_B.DATOS!A155</f>
        <v>0</v>
      </c>
      <c r="B154" s="41">
        <f>REGISTRO_B.DATOS!B155</f>
        <v>0</v>
      </c>
      <c r="C154" s="41">
        <f>REGISTRO_B.DATOS!C155</f>
        <v>0</v>
      </c>
      <c r="D154" s="41">
        <f>REGISTRO_B.DATOS!D155</f>
        <v>0</v>
      </c>
      <c r="E154" s="42">
        <f>REGISTRO_B.DATOS!E155</f>
        <v>0</v>
      </c>
      <c r="F154" s="41">
        <f>REGISTRO_B.DATOS!F155</f>
        <v>0</v>
      </c>
      <c r="G154" s="41">
        <f>REGISTRO_B.DATOS!G155</f>
        <v>0</v>
      </c>
      <c r="H154" s="41">
        <f>REGISTRO_B.DATOS!H155</f>
        <v>0</v>
      </c>
      <c r="I154" s="41">
        <f>REGISTRO_B.DATOS!I155</f>
        <v>0</v>
      </c>
      <c r="J154" s="41">
        <f>REGISTRO_B.DATOS!J155</f>
        <v>0</v>
      </c>
      <c r="K154" s="43">
        <f>REGISTRO_B.DATOS!K155</f>
        <v>0</v>
      </c>
    </row>
    <row r="155" spans="1:11" x14ac:dyDescent="0.25">
      <c r="A155" s="40">
        <f>REGISTRO_B.DATOS!A156</f>
        <v>0</v>
      </c>
      <c r="B155" s="41">
        <f>REGISTRO_B.DATOS!B156</f>
        <v>0</v>
      </c>
      <c r="C155" s="41">
        <f>REGISTRO_B.DATOS!C156</f>
        <v>0</v>
      </c>
      <c r="D155" s="41">
        <f>REGISTRO_B.DATOS!D156</f>
        <v>0</v>
      </c>
      <c r="E155" s="42">
        <f>REGISTRO_B.DATOS!E156</f>
        <v>0</v>
      </c>
      <c r="F155" s="41">
        <f>REGISTRO_B.DATOS!F156</f>
        <v>0</v>
      </c>
      <c r="G155" s="41">
        <f>REGISTRO_B.DATOS!G156</f>
        <v>0</v>
      </c>
      <c r="H155" s="41">
        <f>REGISTRO_B.DATOS!H156</f>
        <v>0</v>
      </c>
      <c r="I155" s="41">
        <f>REGISTRO_B.DATOS!I156</f>
        <v>0</v>
      </c>
      <c r="J155" s="41">
        <f>REGISTRO_B.DATOS!J156</f>
        <v>0</v>
      </c>
      <c r="K155" s="43">
        <f>REGISTRO_B.DATOS!K156</f>
        <v>0</v>
      </c>
    </row>
    <row r="156" spans="1:11" x14ac:dyDescent="0.25">
      <c r="A156" s="40">
        <f>REGISTRO_B.DATOS!A157</f>
        <v>0</v>
      </c>
      <c r="B156" s="41">
        <f>REGISTRO_B.DATOS!B157</f>
        <v>0</v>
      </c>
      <c r="C156" s="41">
        <f>REGISTRO_B.DATOS!C157</f>
        <v>0</v>
      </c>
      <c r="D156" s="41">
        <f>REGISTRO_B.DATOS!D157</f>
        <v>0</v>
      </c>
      <c r="E156" s="42">
        <f>REGISTRO_B.DATOS!E157</f>
        <v>0</v>
      </c>
      <c r="F156" s="41">
        <f>REGISTRO_B.DATOS!F157</f>
        <v>0</v>
      </c>
      <c r="G156" s="41">
        <f>REGISTRO_B.DATOS!G157</f>
        <v>0</v>
      </c>
      <c r="H156" s="41">
        <f>REGISTRO_B.DATOS!H157</f>
        <v>0</v>
      </c>
      <c r="I156" s="41">
        <f>REGISTRO_B.DATOS!I157</f>
        <v>0</v>
      </c>
      <c r="J156" s="41">
        <f>REGISTRO_B.DATOS!J157</f>
        <v>0</v>
      </c>
      <c r="K156" s="43">
        <f>REGISTRO_B.DATOS!K157</f>
        <v>0</v>
      </c>
    </row>
    <row r="157" spans="1:11" x14ac:dyDescent="0.25">
      <c r="A157" s="40">
        <f>REGISTRO_B.DATOS!A158</f>
        <v>0</v>
      </c>
      <c r="B157" s="41">
        <f>REGISTRO_B.DATOS!B158</f>
        <v>0</v>
      </c>
      <c r="C157" s="41">
        <f>REGISTRO_B.DATOS!C158</f>
        <v>0</v>
      </c>
      <c r="D157" s="41">
        <f>REGISTRO_B.DATOS!D158</f>
        <v>0</v>
      </c>
      <c r="E157" s="42">
        <f>REGISTRO_B.DATOS!E158</f>
        <v>0</v>
      </c>
      <c r="F157" s="41">
        <f>REGISTRO_B.DATOS!F158</f>
        <v>0</v>
      </c>
      <c r="G157" s="41">
        <f>REGISTRO_B.DATOS!G158</f>
        <v>0</v>
      </c>
      <c r="H157" s="41">
        <f>REGISTRO_B.DATOS!H158</f>
        <v>0</v>
      </c>
      <c r="I157" s="41">
        <f>REGISTRO_B.DATOS!I158</f>
        <v>0</v>
      </c>
      <c r="J157" s="41">
        <f>REGISTRO_B.DATOS!J158</f>
        <v>0</v>
      </c>
      <c r="K157" s="43">
        <f>REGISTRO_B.DATOS!K158</f>
        <v>0</v>
      </c>
    </row>
    <row r="158" spans="1:11" x14ac:dyDescent="0.25">
      <c r="A158" s="40">
        <f>REGISTRO_B.DATOS!A159</f>
        <v>0</v>
      </c>
      <c r="B158" s="41">
        <f>REGISTRO_B.DATOS!B159</f>
        <v>0</v>
      </c>
      <c r="C158" s="41">
        <f>REGISTRO_B.DATOS!C159</f>
        <v>0</v>
      </c>
      <c r="D158" s="41">
        <f>REGISTRO_B.DATOS!D159</f>
        <v>0</v>
      </c>
      <c r="E158" s="42">
        <f>REGISTRO_B.DATOS!E159</f>
        <v>0</v>
      </c>
      <c r="F158" s="41">
        <f>REGISTRO_B.DATOS!F159</f>
        <v>0</v>
      </c>
      <c r="G158" s="41">
        <f>REGISTRO_B.DATOS!G159</f>
        <v>0</v>
      </c>
      <c r="H158" s="41">
        <f>REGISTRO_B.DATOS!H159</f>
        <v>0</v>
      </c>
      <c r="I158" s="41">
        <f>REGISTRO_B.DATOS!I159</f>
        <v>0</v>
      </c>
      <c r="J158" s="41">
        <f>REGISTRO_B.DATOS!J159</f>
        <v>0</v>
      </c>
      <c r="K158" s="43">
        <f>REGISTRO_B.DATOS!K159</f>
        <v>0</v>
      </c>
    </row>
    <row r="159" spans="1:11" x14ac:dyDescent="0.25">
      <c r="A159" s="40">
        <f>REGISTRO_B.DATOS!A160</f>
        <v>0</v>
      </c>
      <c r="B159" s="41">
        <f>REGISTRO_B.DATOS!B160</f>
        <v>0</v>
      </c>
      <c r="C159" s="41">
        <f>REGISTRO_B.DATOS!C160</f>
        <v>0</v>
      </c>
      <c r="D159" s="41">
        <f>REGISTRO_B.DATOS!D160</f>
        <v>0</v>
      </c>
      <c r="E159" s="42">
        <f>REGISTRO_B.DATOS!E160</f>
        <v>0</v>
      </c>
      <c r="F159" s="41">
        <f>REGISTRO_B.DATOS!F160</f>
        <v>0</v>
      </c>
      <c r="G159" s="41">
        <f>REGISTRO_B.DATOS!G160</f>
        <v>0</v>
      </c>
      <c r="H159" s="41">
        <f>REGISTRO_B.DATOS!H160</f>
        <v>0</v>
      </c>
      <c r="I159" s="41">
        <f>REGISTRO_B.DATOS!I160</f>
        <v>0</v>
      </c>
      <c r="J159" s="41">
        <f>REGISTRO_B.DATOS!J160</f>
        <v>0</v>
      </c>
      <c r="K159" s="43">
        <f>REGISTRO_B.DATOS!K160</f>
        <v>0</v>
      </c>
    </row>
    <row r="160" spans="1:11" x14ac:dyDescent="0.25">
      <c r="A160" s="40">
        <f>REGISTRO_B.DATOS!A161</f>
        <v>0</v>
      </c>
      <c r="B160" s="41">
        <f>REGISTRO_B.DATOS!B161</f>
        <v>0</v>
      </c>
      <c r="C160" s="41">
        <f>REGISTRO_B.DATOS!C161</f>
        <v>0</v>
      </c>
      <c r="D160" s="41">
        <f>REGISTRO_B.DATOS!D161</f>
        <v>0</v>
      </c>
      <c r="E160" s="42">
        <f>REGISTRO_B.DATOS!E161</f>
        <v>0</v>
      </c>
      <c r="F160" s="41">
        <f>REGISTRO_B.DATOS!F161</f>
        <v>0</v>
      </c>
      <c r="G160" s="41">
        <f>REGISTRO_B.DATOS!G161</f>
        <v>0</v>
      </c>
      <c r="H160" s="41">
        <f>REGISTRO_B.DATOS!H161</f>
        <v>0</v>
      </c>
      <c r="I160" s="41">
        <f>REGISTRO_B.DATOS!I161</f>
        <v>0</v>
      </c>
      <c r="J160" s="41">
        <f>REGISTRO_B.DATOS!J161</f>
        <v>0</v>
      </c>
      <c r="K160" s="43">
        <f>REGISTRO_B.DATOS!K161</f>
        <v>0</v>
      </c>
    </row>
    <row r="161" spans="1:11" x14ac:dyDescent="0.25">
      <c r="A161" s="40">
        <f>REGISTRO_B.DATOS!A162</f>
        <v>0</v>
      </c>
      <c r="B161" s="41">
        <f>REGISTRO_B.DATOS!B162</f>
        <v>0</v>
      </c>
      <c r="C161" s="41">
        <f>REGISTRO_B.DATOS!C162</f>
        <v>0</v>
      </c>
      <c r="D161" s="41">
        <f>REGISTRO_B.DATOS!D162</f>
        <v>0</v>
      </c>
      <c r="E161" s="42">
        <f>REGISTRO_B.DATOS!E162</f>
        <v>0</v>
      </c>
      <c r="F161" s="41">
        <f>REGISTRO_B.DATOS!F162</f>
        <v>0</v>
      </c>
      <c r="G161" s="41">
        <f>REGISTRO_B.DATOS!G162</f>
        <v>0</v>
      </c>
      <c r="H161" s="41">
        <f>REGISTRO_B.DATOS!H162</f>
        <v>0</v>
      </c>
      <c r="I161" s="41">
        <f>REGISTRO_B.DATOS!I162</f>
        <v>0</v>
      </c>
      <c r="J161" s="41">
        <f>REGISTRO_B.DATOS!J162</f>
        <v>0</v>
      </c>
      <c r="K161" s="43">
        <f>REGISTRO_B.DATOS!K162</f>
        <v>0</v>
      </c>
    </row>
    <row r="162" spans="1:11" x14ac:dyDescent="0.25">
      <c r="A162" s="40">
        <f>REGISTRO_B.DATOS!A163</f>
        <v>0</v>
      </c>
      <c r="B162" s="41">
        <f>REGISTRO_B.DATOS!B163</f>
        <v>0</v>
      </c>
      <c r="C162" s="41">
        <f>REGISTRO_B.DATOS!C163</f>
        <v>0</v>
      </c>
      <c r="D162" s="41">
        <f>REGISTRO_B.DATOS!D163</f>
        <v>0</v>
      </c>
      <c r="E162" s="42">
        <f>REGISTRO_B.DATOS!E163</f>
        <v>0</v>
      </c>
      <c r="F162" s="41">
        <f>REGISTRO_B.DATOS!F163</f>
        <v>0</v>
      </c>
      <c r="G162" s="41">
        <f>REGISTRO_B.DATOS!G163</f>
        <v>0</v>
      </c>
      <c r="H162" s="41">
        <f>REGISTRO_B.DATOS!H163</f>
        <v>0</v>
      </c>
      <c r="I162" s="41">
        <f>REGISTRO_B.DATOS!I163</f>
        <v>0</v>
      </c>
      <c r="J162" s="41">
        <f>REGISTRO_B.DATOS!J163</f>
        <v>0</v>
      </c>
      <c r="K162" s="43">
        <f>REGISTRO_B.DATOS!K163</f>
        <v>0</v>
      </c>
    </row>
    <row r="163" spans="1:11" x14ac:dyDescent="0.25">
      <c r="A163" s="40">
        <f>REGISTRO_B.DATOS!A164</f>
        <v>0</v>
      </c>
      <c r="B163" s="41">
        <f>REGISTRO_B.DATOS!B164</f>
        <v>0</v>
      </c>
      <c r="C163" s="41">
        <f>REGISTRO_B.DATOS!C164</f>
        <v>0</v>
      </c>
      <c r="D163" s="41">
        <f>REGISTRO_B.DATOS!D164</f>
        <v>0</v>
      </c>
      <c r="E163" s="42">
        <f>REGISTRO_B.DATOS!E164</f>
        <v>0</v>
      </c>
      <c r="F163" s="41">
        <f>REGISTRO_B.DATOS!F164</f>
        <v>0</v>
      </c>
      <c r="G163" s="41">
        <f>REGISTRO_B.DATOS!G164</f>
        <v>0</v>
      </c>
      <c r="H163" s="41">
        <f>REGISTRO_B.DATOS!H164</f>
        <v>0</v>
      </c>
      <c r="I163" s="41">
        <f>REGISTRO_B.DATOS!I164</f>
        <v>0</v>
      </c>
      <c r="J163" s="41">
        <f>REGISTRO_B.DATOS!J164</f>
        <v>0</v>
      </c>
      <c r="K163" s="43">
        <f>REGISTRO_B.DATOS!K164</f>
        <v>0</v>
      </c>
    </row>
    <row r="164" spans="1:11" x14ac:dyDescent="0.25">
      <c r="A164" s="40">
        <f>REGISTRO_B.DATOS!A165</f>
        <v>0</v>
      </c>
      <c r="B164" s="41">
        <f>REGISTRO_B.DATOS!B165</f>
        <v>0</v>
      </c>
      <c r="C164" s="41">
        <f>REGISTRO_B.DATOS!C165</f>
        <v>0</v>
      </c>
      <c r="D164" s="41">
        <f>REGISTRO_B.DATOS!D165</f>
        <v>0</v>
      </c>
      <c r="E164" s="42">
        <f>REGISTRO_B.DATOS!E165</f>
        <v>0</v>
      </c>
      <c r="F164" s="41">
        <f>REGISTRO_B.DATOS!F165</f>
        <v>0</v>
      </c>
      <c r="G164" s="41">
        <f>REGISTRO_B.DATOS!G165</f>
        <v>0</v>
      </c>
      <c r="H164" s="41">
        <f>REGISTRO_B.DATOS!H165</f>
        <v>0</v>
      </c>
      <c r="I164" s="41">
        <f>REGISTRO_B.DATOS!I165</f>
        <v>0</v>
      </c>
      <c r="J164" s="41">
        <f>REGISTRO_B.DATOS!J165</f>
        <v>0</v>
      </c>
      <c r="K164" s="43">
        <f>REGISTRO_B.DATOS!K165</f>
        <v>0</v>
      </c>
    </row>
    <row r="165" spans="1:11" x14ac:dyDescent="0.25">
      <c r="A165" s="40">
        <f>REGISTRO_B.DATOS!A166</f>
        <v>0</v>
      </c>
      <c r="B165" s="41">
        <f>REGISTRO_B.DATOS!B166</f>
        <v>0</v>
      </c>
      <c r="C165" s="41">
        <f>REGISTRO_B.DATOS!C166</f>
        <v>0</v>
      </c>
      <c r="D165" s="41">
        <f>REGISTRO_B.DATOS!D166</f>
        <v>0</v>
      </c>
      <c r="E165" s="42">
        <f>REGISTRO_B.DATOS!E166</f>
        <v>0</v>
      </c>
      <c r="F165" s="41">
        <f>REGISTRO_B.DATOS!F166</f>
        <v>0</v>
      </c>
      <c r="G165" s="41">
        <f>REGISTRO_B.DATOS!G166</f>
        <v>0</v>
      </c>
      <c r="H165" s="41">
        <f>REGISTRO_B.DATOS!H166</f>
        <v>0</v>
      </c>
      <c r="I165" s="41">
        <f>REGISTRO_B.DATOS!I166</f>
        <v>0</v>
      </c>
      <c r="J165" s="41">
        <f>REGISTRO_B.DATOS!J166</f>
        <v>0</v>
      </c>
      <c r="K165" s="43">
        <f>REGISTRO_B.DATOS!K166</f>
        <v>0</v>
      </c>
    </row>
    <row r="166" spans="1:11" x14ac:dyDescent="0.25">
      <c r="A166" s="40">
        <f>REGISTRO_B.DATOS!A167</f>
        <v>0</v>
      </c>
      <c r="B166" s="41">
        <f>REGISTRO_B.DATOS!B167</f>
        <v>0</v>
      </c>
      <c r="C166" s="41">
        <f>REGISTRO_B.DATOS!C167</f>
        <v>0</v>
      </c>
      <c r="D166" s="41">
        <f>REGISTRO_B.DATOS!D167</f>
        <v>0</v>
      </c>
      <c r="E166" s="42">
        <f>REGISTRO_B.DATOS!E167</f>
        <v>0</v>
      </c>
      <c r="F166" s="41">
        <f>REGISTRO_B.DATOS!F167</f>
        <v>0</v>
      </c>
      <c r="G166" s="41">
        <f>REGISTRO_B.DATOS!G167</f>
        <v>0</v>
      </c>
      <c r="H166" s="41">
        <f>REGISTRO_B.DATOS!H167</f>
        <v>0</v>
      </c>
      <c r="I166" s="41">
        <f>REGISTRO_B.DATOS!I167</f>
        <v>0</v>
      </c>
      <c r="J166" s="41">
        <f>REGISTRO_B.DATOS!J167</f>
        <v>0</v>
      </c>
      <c r="K166" s="43">
        <f>REGISTRO_B.DATOS!K167</f>
        <v>0</v>
      </c>
    </row>
    <row r="167" spans="1:11" x14ac:dyDescent="0.25">
      <c r="A167" s="40">
        <f>REGISTRO_B.DATOS!A168</f>
        <v>0</v>
      </c>
      <c r="B167" s="41">
        <f>REGISTRO_B.DATOS!B168</f>
        <v>0</v>
      </c>
      <c r="C167" s="41">
        <f>REGISTRO_B.DATOS!C168</f>
        <v>0</v>
      </c>
      <c r="D167" s="41">
        <f>REGISTRO_B.DATOS!D168</f>
        <v>0</v>
      </c>
      <c r="E167" s="42">
        <f>REGISTRO_B.DATOS!E168</f>
        <v>0</v>
      </c>
      <c r="F167" s="41">
        <f>REGISTRO_B.DATOS!F168</f>
        <v>0</v>
      </c>
      <c r="G167" s="41">
        <f>REGISTRO_B.DATOS!G168</f>
        <v>0</v>
      </c>
      <c r="H167" s="41">
        <f>REGISTRO_B.DATOS!H168</f>
        <v>0</v>
      </c>
      <c r="I167" s="41">
        <f>REGISTRO_B.DATOS!I168</f>
        <v>0</v>
      </c>
      <c r="J167" s="41">
        <f>REGISTRO_B.DATOS!J168</f>
        <v>0</v>
      </c>
      <c r="K167" s="43">
        <f>REGISTRO_B.DATOS!K168</f>
        <v>0</v>
      </c>
    </row>
    <row r="168" spans="1:11" x14ac:dyDescent="0.25">
      <c r="A168" s="40">
        <f>REGISTRO_B.DATOS!A169</f>
        <v>0</v>
      </c>
      <c r="B168" s="41">
        <f>REGISTRO_B.DATOS!B169</f>
        <v>0</v>
      </c>
      <c r="C168" s="41">
        <f>REGISTRO_B.DATOS!C169</f>
        <v>0</v>
      </c>
      <c r="D168" s="41">
        <f>REGISTRO_B.DATOS!D169</f>
        <v>0</v>
      </c>
      <c r="E168" s="42">
        <f>REGISTRO_B.DATOS!E169</f>
        <v>0</v>
      </c>
      <c r="F168" s="41">
        <f>REGISTRO_B.DATOS!F169</f>
        <v>0</v>
      </c>
      <c r="G168" s="41">
        <f>REGISTRO_B.DATOS!G169</f>
        <v>0</v>
      </c>
      <c r="H168" s="41">
        <f>REGISTRO_B.DATOS!H169</f>
        <v>0</v>
      </c>
      <c r="I168" s="41">
        <f>REGISTRO_B.DATOS!I169</f>
        <v>0</v>
      </c>
      <c r="J168" s="41">
        <f>REGISTRO_B.DATOS!J169</f>
        <v>0</v>
      </c>
      <c r="K168" s="43">
        <f>REGISTRO_B.DATOS!K169</f>
        <v>0</v>
      </c>
    </row>
    <row r="169" spans="1:11" x14ac:dyDescent="0.25">
      <c r="A169" s="40">
        <f>REGISTRO_B.DATOS!A170</f>
        <v>0</v>
      </c>
      <c r="B169" s="41">
        <f>REGISTRO_B.DATOS!B170</f>
        <v>0</v>
      </c>
      <c r="C169" s="41">
        <f>REGISTRO_B.DATOS!C170</f>
        <v>0</v>
      </c>
      <c r="D169" s="41">
        <f>REGISTRO_B.DATOS!D170</f>
        <v>0</v>
      </c>
      <c r="E169" s="42">
        <f>REGISTRO_B.DATOS!E170</f>
        <v>0</v>
      </c>
      <c r="F169" s="41">
        <f>REGISTRO_B.DATOS!F170</f>
        <v>0</v>
      </c>
      <c r="G169" s="41">
        <f>REGISTRO_B.DATOS!G170</f>
        <v>0</v>
      </c>
      <c r="H169" s="41">
        <f>REGISTRO_B.DATOS!H170</f>
        <v>0</v>
      </c>
      <c r="I169" s="41">
        <f>REGISTRO_B.DATOS!I170</f>
        <v>0</v>
      </c>
      <c r="J169" s="41">
        <f>REGISTRO_B.DATOS!J170</f>
        <v>0</v>
      </c>
      <c r="K169" s="43">
        <f>REGISTRO_B.DATOS!K170</f>
        <v>0</v>
      </c>
    </row>
    <row r="170" spans="1:11" x14ac:dyDescent="0.25">
      <c r="A170" s="40">
        <f>REGISTRO_B.DATOS!A171</f>
        <v>0</v>
      </c>
      <c r="B170" s="41">
        <f>REGISTRO_B.DATOS!B171</f>
        <v>0</v>
      </c>
      <c r="C170" s="41">
        <f>REGISTRO_B.DATOS!C171</f>
        <v>0</v>
      </c>
      <c r="D170" s="41">
        <f>REGISTRO_B.DATOS!D171</f>
        <v>0</v>
      </c>
      <c r="E170" s="42">
        <f>REGISTRO_B.DATOS!E171</f>
        <v>0</v>
      </c>
      <c r="F170" s="41">
        <f>REGISTRO_B.DATOS!F171</f>
        <v>0</v>
      </c>
      <c r="G170" s="41">
        <f>REGISTRO_B.DATOS!G171</f>
        <v>0</v>
      </c>
      <c r="H170" s="41">
        <f>REGISTRO_B.DATOS!H171</f>
        <v>0</v>
      </c>
      <c r="I170" s="41">
        <f>REGISTRO_B.DATOS!I171</f>
        <v>0</v>
      </c>
      <c r="J170" s="41">
        <f>REGISTRO_B.DATOS!J171</f>
        <v>0</v>
      </c>
      <c r="K170" s="43">
        <f>REGISTRO_B.DATOS!K171</f>
        <v>0</v>
      </c>
    </row>
    <row r="171" spans="1:11" x14ac:dyDescent="0.25">
      <c r="A171" s="40">
        <f>REGISTRO_B.DATOS!A172</f>
        <v>0</v>
      </c>
      <c r="B171" s="41">
        <f>REGISTRO_B.DATOS!B172</f>
        <v>0</v>
      </c>
      <c r="C171" s="41">
        <f>REGISTRO_B.DATOS!C172</f>
        <v>0</v>
      </c>
      <c r="D171" s="41">
        <f>REGISTRO_B.DATOS!D172</f>
        <v>0</v>
      </c>
      <c r="E171" s="42">
        <f>REGISTRO_B.DATOS!E172</f>
        <v>0</v>
      </c>
      <c r="F171" s="41">
        <f>REGISTRO_B.DATOS!F172</f>
        <v>0</v>
      </c>
      <c r="G171" s="41">
        <f>REGISTRO_B.DATOS!G172</f>
        <v>0</v>
      </c>
      <c r="H171" s="41">
        <f>REGISTRO_B.DATOS!H172</f>
        <v>0</v>
      </c>
      <c r="I171" s="41">
        <f>REGISTRO_B.DATOS!I172</f>
        <v>0</v>
      </c>
      <c r="J171" s="41">
        <f>REGISTRO_B.DATOS!J172</f>
        <v>0</v>
      </c>
      <c r="K171" s="43">
        <f>REGISTRO_B.DATOS!K172</f>
        <v>0</v>
      </c>
    </row>
    <row r="172" spans="1:11" x14ac:dyDescent="0.25">
      <c r="A172" s="40">
        <f>REGISTRO_B.DATOS!A173</f>
        <v>0</v>
      </c>
      <c r="B172" s="41">
        <f>REGISTRO_B.DATOS!B173</f>
        <v>0</v>
      </c>
      <c r="C172" s="41">
        <f>REGISTRO_B.DATOS!C173</f>
        <v>0</v>
      </c>
      <c r="D172" s="41">
        <f>REGISTRO_B.DATOS!D173</f>
        <v>0</v>
      </c>
      <c r="E172" s="42">
        <f>REGISTRO_B.DATOS!E173</f>
        <v>0</v>
      </c>
      <c r="F172" s="41">
        <f>REGISTRO_B.DATOS!F173</f>
        <v>0</v>
      </c>
      <c r="G172" s="41">
        <f>REGISTRO_B.DATOS!G173</f>
        <v>0</v>
      </c>
      <c r="H172" s="41">
        <f>REGISTRO_B.DATOS!H173</f>
        <v>0</v>
      </c>
      <c r="I172" s="41">
        <f>REGISTRO_B.DATOS!I173</f>
        <v>0</v>
      </c>
      <c r="J172" s="41">
        <f>REGISTRO_B.DATOS!J173</f>
        <v>0</v>
      </c>
      <c r="K172" s="43">
        <f>REGISTRO_B.DATOS!K173</f>
        <v>0</v>
      </c>
    </row>
    <row r="173" spans="1:11" x14ac:dyDescent="0.25">
      <c r="A173" s="40">
        <f>REGISTRO_B.DATOS!A174</f>
        <v>0</v>
      </c>
      <c r="B173" s="41">
        <f>REGISTRO_B.DATOS!B174</f>
        <v>0</v>
      </c>
      <c r="C173" s="41">
        <f>REGISTRO_B.DATOS!C174</f>
        <v>0</v>
      </c>
      <c r="D173" s="41">
        <f>REGISTRO_B.DATOS!D174</f>
        <v>0</v>
      </c>
      <c r="E173" s="42">
        <f>REGISTRO_B.DATOS!E174</f>
        <v>0</v>
      </c>
      <c r="F173" s="41">
        <f>REGISTRO_B.DATOS!F174</f>
        <v>0</v>
      </c>
      <c r="G173" s="41">
        <f>REGISTRO_B.DATOS!G174</f>
        <v>0</v>
      </c>
      <c r="H173" s="41">
        <f>REGISTRO_B.DATOS!H174</f>
        <v>0</v>
      </c>
      <c r="I173" s="41">
        <f>REGISTRO_B.DATOS!I174</f>
        <v>0</v>
      </c>
      <c r="J173" s="41">
        <f>REGISTRO_B.DATOS!J174</f>
        <v>0</v>
      </c>
      <c r="K173" s="43">
        <f>REGISTRO_B.DATOS!K174</f>
        <v>0</v>
      </c>
    </row>
    <row r="174" spans="1:11" x14ac:dyDescent="0.25">
      <c r="A174" s="40">
        <f>REGISTRO_B.DATOS!A175</f>
        <v>0</v>
      </c>
      <c r="B174" s="41">
        <f>REGISTRO_B.DATOS!B175</f>
        <v>0</v>
      </c>
      <c r="C174" s="41">
        <f>REGISTRO_B.DATOS!C175</f>
        <v>0</v>
      </c>
      <c r="D174" s="41">
        <f>REGISTRO_B.DATOS!D175</f>
        <v>0</v>
      </c>
      <c r="E174" s="42">
        <f>REGISTRO_B.DATOS!E175</f>
        <v>0</v>
      </c>
      <c r="F174" s="41">
        <f>REGISTRO_B.DATOS!F175</f>
        <v>0</v>
      </c>
      <c r="G174" s="41">
        <f>REGISTRO_B.DATOS!G175</f>
        <v>0</v>
      </c>
      <c r="H174" s="41">
        <f>REGISTRO_B.DATOS!H175</f>
        <v>0</v>
      </c>
      <c r="I174" s="41">
        <f>REGISTRO_B.DATOS!I175</f>
        <v>0</v>
      </c>
      <c r="J174" s="41">
        <f>REGISTRO_B.DATOS!J175</f>
        <v>0</v>
      </c>
      <c r="K174" s="43">
        <f>REGISTRO_B.DATOS!K175</f>
        <v>0</v>
      </c>
    </row>
    <row r="175" spans="1:11" x14ac:dyDescent="0.25">
      <c r="A175" s="40">
        <f>REGISTRO_B.DATOS!A176</f>
        <v>0</v>
      </c>
      <c r="B175" s="41">
        <f>REGISTRO_B.DATOS!B176</f>
        <v>0</v>
      </c>
      <c r="C175" s="41">
        <f>REGISTRO_B.DATOS!C176</f>
        <v>0</v>
      </c>
      <c r="D175" s="41">
        <f>REGISTRO_B.DATOS!D176</f>
        <v>0</v>
      </c>
      <c r="E175" s="42">
        <f>REGISTRO_B.DATOS!E176</f>
        <v>0</v>
      </c>
      <c r="F175" s="41">
        <f>REGISTRO_B.DATOS!F176</f>
        <v>0</v>
      </c>
      <c r="G175" s="41">
        <f>REGISTRO_B.DATOS!G176</f>
        <v>0</v>
      </c>
      <c r="H175" s="41">
        <f>REGISTRO_B.DATOS!H176</f>
        <v>0</v>
      </c>
      <c r="I175" s="41">
        <f>REGISTRO_B.DATOS!I176</f>
        <v>0</v>
      </c>
      <c r="J175" s="41">
        <f>REGISTRO_B.DATOS!J176</f>
        <v>0</v>
      </c>
      <c r="K175" s="43">
        <f>REGISTRO_B.DATOS!K176</f>
        <v>0</v>
      </c>
    </row>
    <row r="176" spans="1:11" x14ac:dyDescent="0.25">
      <c r="A176" s="40">
        <f>REGISTRO_B.DATOS!A177</f>
        <v>0</v>
      </c>
      <c r="B176" s="41">
        <f>REGISTRO_B.DATOS!B177</f>
        <v>0</v>
      </c>
      <c r="C176" s="41">
        <f>REGISTRO_B.DATOS!C177</f>
        <v>0</v>
      </c>
      <c r="D176" s="41">
        <f>REGISTRO_B.DATOS!D177</f>
        <v>0</v>
      </c>
      <c r="E176" s="42">
        <f>REGISTRO_B.DATOS!E177</f>
        <v>0</v>
      </c>
      <c r="F176" s="41">
        <f>REGISTRO_B.DATOS!F177</f>
        <v>0</v>
      </c>
      <c r="G176" s="41">
        <f>REGISTRO_B.DATOS!G177</f>
        <v>0</v>
      </c>
      <c r="H176" s="41">
        <f>REGISTRO_B.DATOS!H177</f>
        <v>0</v>
      </c>
      <c r="I176" s="41">
        <f>REGISTRO_B.DATOS!I177</f>
        <v>0</v>
      </c>
      <c r="J176" s="41">
        <f>REGISTRO_B.DATOS!J177</f>
        <v>0</v>
      </c>
      <c r="K176" s="43">
        <f>REGISTRO_B.DATOS!K177</f>
        <v>0</v>
      </c>
    </row>
    <row r="177" spans="1:11" x14ac:dyDescent="0.25">
      <c r="A177" s="40">
        <f>REGISTRO_B.DATOS!A178</f>
        <v>0</v>
      </c>
      <c r="B177" s="41">
        <f>REGISTRO_B.DATOS!B178</f>
        <v>0</v>
      </c>
      <c r="C177" s="41">
        <f>REGISTRO_B.DATOS!C178</f>
        <v>0</v>
      </c>
      <c r="D177" s="41">
        <f>REGISTRO_B.DATOS!D178</f>
        <v>0</v>
      </c>
      <c r="E177" s="42">
        <f>REGISTRO_B.DATOS!E178</f>
        <v>0</v>
      </c>
      <c r="F177" s="41">
        <f>REGISTRO_B.DATOS!F178</f>
        <v>0</v>
      </c>
      <c r="G177" s="41">
        <f>REGISTRO_B.DATOS!G178</f>
        <v>0</v>
      </c>
      <c r="H177" s="41">
        <f>REGISTRO_B.DATOS!H178</f>
        <v>0</v>
      </c>
      <c r="I177" s="41">
        <f>REGISTRO_B.DATOS!I178</f>
        <v>0</v>
      </c>
      <c r="J177" s="41">
        <f>REGISTRO_B.DATOS!J178</f>
        <v>0</v>
      </c>
      <c r="K177" s="43">
        <f>REGISTRO_B.DATOS!K178</f>
        <v>0</v>
      </c>
    </row>
    <row r="178" spans="1:11" x14ac:dyDescent="0.25">
      <c r="A178" s="40">
        <f>REGISTRO_B.DATOS!A179</f>
        <v>0</v>
      </c>
      <c r="B178" s="41">
        <f>REGISTRO_B.DATOS!B179</f>
        <v>0</v>
      </c>
      <c r="C178" s="41">
        <f>REGISTRO_B.DATOS!C179</f>
        <v>0</v>
      </c>
      <c r="D178" s="41">
        <f>REGISTRO_B.DATOS!D179</f>
        <v>0</v>
      </c>
      <c r="E178" s="42">
        <f>REGISTRO_B.DATOS!E179</f>
        <v>0</v>
      </c>
      <c r="F178" s="41">
        <f>REGISTRO_B.DATOS!F179</f>
        <v>0</v>
      </c>
      <c r="G178" s="41">
        <f>REGISTRO_B.DATOS!G179</f>
        <v>0</v>
      </c>
      <c r="H178" s="41">
        <f>REGISTRO_B.DATOS!H179</f>
        <v>0</v>
      </c>
      <c r="I178" s="41">
        <f>REGISTRO_B.DATOS!I179</f>
        <v>0</v>
      </c>
      <c r="J178" s="41">
        <f>REGISTRO_B.DATOS!J179</f>
        <v>0</v>
      </c>
      <c r="K178" s="43">
        <f>REGISTRO_B.DATOS!K179</f>
        <v>0</v>
      </c>
    </row>
    <row r="179" spans="1:11" x14ac:dyDescent="0.25">
      <c r="A179" s="40">
        <f>REGISTRO_B.DATOS!A180</f>
        <v>0</v>
      </c>
      <c r="B179" s="41">
        <f>REGISTRO_B.DATOS!B180</f>
        <v>0</v>
      </c>
      <c r="C179" s="41">
        <f>REGISTRO_B.DATOS!C180</f>
        <v>0</v>
      </c>
      <c r="D179" s="41">
        <f>REGISTRO_B.DATOS!D180</f>
        <v>0</v>
      </c>
      <c r="E179" s="42">
        <f>REGISTRO_B.DATOS!E180</f>
        <v>0</v>
      </c>
      <c r="F179" s="41">
        <f>REGISTRO_B.DATOS!F180</f>
        <v>0</v>
      </c>
      <c r="G179" s="41">
        <f>REGISTRO_B.DATOS!G180</f>
        <v>0</v>
      </c>
      <c r="H179" s="41">
        <f>REGISTRO_B.DATOS!H180</f>
        <v>0</v>
      </c>
      <c r="I179" s="41">
        <f>REGISTRO_B.DATOS!I180</f>
        <v>0</v>
      </c>
      <c r="J179" s="41">
        <f>REGISTRO_B.DATOS!J180</f>
        <v>0</v>
      </c>
      <c r="K179" s="43">
        <f>REGISTRO_B.DATOS!K180</f>
        <v>0</v>
      </c>
    </row>
    <row r="180" spans="1:11" x14ac:dyDescent="0.25">
      <c r="A180" s="40">
        <f>REGISTRO_B.DATOS!A181</f>
        <v>0</v>
      </c>
      <c r="B180" s="41">
        <f>REGISTRO_B.DATOS!B181</f>
        <v>0</v>
      </c>
      <c r="C180" s="41">
        <f>REGISTRO_B.DATOS!C181</f>
        <v>0</v>
      </c>
      <c r="D180" s="41">
        <f>REGISTRO_B.DATOS!D181</f>
        <v>0</v>
      </c>
      <c r="E180" s="42">
        <f>REGISTRO_B.DATOS!E181</f>
        <v>0</v>
      </c>
      <c r="F180" s="41">
        <f>REGISTRO_B.DATOS!F181</f>
        <v>0</v>
      </c>
      <c r="G180" s="41">
        <f>REGISTRO_B.DATOS!G181</f>
        <v>0</v>
      </c>
      <c r="H180" s="41">
        <f>REGISTRO_B.DATOS!H181</f>
        <v>0</v>
      </c>
      <c r="I180" s="41">
        <f>REGISTRO_B.DATOS!I181</f>
        <v>0</v>
      </c>
      <c r="J180" s="41">
        <f>REGISTRO_B.DATOS!J181</f>
        <v>0</v>
      </c>
      <c r="K180" s="43">
        <f>REGISTRO_B.DATOS!K181</f>
        <v>0</v>
      </c>
    </row>
    <row r="181" spans="1:11" x14ac:dyDescent="0.25">
      <c r="A181" s="40">
        <f>REGISTRO_B.DATOS!A182</f>
        <v>0</v>
      </c>
      <c r="B181" s="41">
        <f>REGISTRO_B.DATOS!B182</f>
        <v>0</v>
      </c>
      <c r="C181" s="41">
        <f>REGISTRO_B.DATOS!C182</f>
        <v>0</v>
      </c>
      <c r="D181" s="41">
        <f>REGISTRO_B.DATOS!D182</f>
        <v>0</v>
      </c>
      <c r="E181" s="42">
        <f>REGISTRO_B.DATOS!E182</f>
        <v>0</v>
      </c>
      <c r="F181" s="41">
        <f>REGISTRO_B.DATOS!F182</f>
        <v>0</v>
      </c>
      <c r="G181" s="41">
        <f>REGISTRO_B.DATOS!G182</f>
        <v>0</v>
      </c>
      <c r="H181" s="41">
        <f>REGISTRO_B.DATOS!H182</f>
        <v>0</v>
      </c>
      <c r="I181" s="41">
        <f>REGISTRO_B.DATOS!I182</f>
        <v>0</v>
      </c>
      <c r="J181" s="41">
        <f>REGISTRO_B.DATOS!J182</f>
        <v>0</v>
      </c>
      <c r="K181" s="43">
        <f>REGISTRO_B.DATOS!K182</f>
        <v>0</v>
      </c>
    </row>
    <row r="182" spans="1:11" x14ac:dyDescent="0.25">
      <c r="A182" s="40">
        <f>REGISTRO_B.DATOS!A183</f>
        <v>0</v>
      </c>
      <c r="B182" s="41">
        <f>REGISTRO_B.DATOS!B183</f>
        <v>0</v>
      </c>
      <c r="C182" s="41">
        <f>REGISTRO_B.DATOS!C183</f>
        <v>0</v>
      </c>
      <c r="D182" s="41">
        <f>REGISTRO_B.DATOS!D183</f>
        <v>0</v>
      </c>
      <c r="E182" s="42">
        <f>REGISTRO_B.DATOS!E183</f>
        <v>0</v>
      </c>
      <c r="F182" s="41">
        <f>REGISTRO_B.DATOS!F183</f>
        <v>0</v>
      </c>
      <c r="G182" s="41">
        <f>REGISTRO_B.DATOS!G183</f>
        <v>0</v>
      </c>
      <c r="H182" s="41">
        <f>REGISTRO_B.DATOS!H183</f>
        <v>0</v>
      </c>
      <c r="I182" s="41">
        <f>REGISTRO_B.DATOS!I183</f>
        <v>0</v>
      </c>
      <c r="J182" s="41">
        <f>REGISTRO_B.DATOS!J183</f>
        <v>0</v>
      </c>
      <c r="K182" s="43">
        <f>REGISTRO_B.DATOS!K183</f>
        <v>0</v>
      </c>
    </row>
    <row r="183" spans="1:11" x14ac:dyDescent="0.25">
      <c r="A183" s="40">
        <f>REGISTRO_B.DATOS!A184</f>
        <v>0</v>
      </c>
      <c r="B183" s="41">
        <f>REGISTRO_B.DATOS!B184</f>
        <v>0</v>
      </c>
      <c r="C183" s="41">
        <f>REGISTRO_B.DATOS!C184</f>
        <v>0</v>
      </c>
      <c r="D183" s="41">
        <f>REGISTRO_B.DATOS!D184</f>
        <v>0</v>
      </c>
      <c r="E183" s="42">
        <f>REGISTRO_B.DATOS!E184</f>
        <v>0</v>
      </c>
      <c r="F183" s="41">
        <f>REGISTRO_B.DATOS!F184</f>
        <v>0</v>
      </c>
      <c r="G183" s="41">
        <f>REGISTRO_B.DATOS!G184</f>
        <v>0</v>
      </c>
      <c r="H183" s="41">
        <f>REGISTRO_B.DATOS!H184</f>
        <v>0</v>
      </c>
      <c r="I183" s="41">
        <f>REGISTRO_B.DATOS!I184</f>
        <v>0</v>
      </c>
      <c r="J183" s="41">
        <f>REGISTRO_B.DATOS!J184</f>
        <v>0</v>
      </c>
      <c r="K183" s="43">
        <f>REGISTRO_B.DATOS!K184</f>
        <v>0</v>
      </c>
    </row>
    <row r="184" spans="1:11" x14ac:dyDescent="0.25">
      <c r="A184" s="40">
        <f>REGISTRO_B.DATOS!A185</f>
        <v>0</v>
      </c>
      <c r="B184" s="41">
        <f>REGISTRO_B.DATOS!B185</f>
        <v>0</v>
      </c>
      <c r="C184" s="41">
        <f>REGISTRO_B.DATOS!C185</f>
        <v>0</v>
      </c>
      <c r="D184" s="41">
        <f>REGISTRO_B.DATOS!D185</f>
        <v>0</v>
      </c>
      <c r="E184" s="42">
        <f>REGISTRO_B.DATOS!E185</f>
        <v>0</v>
      </c>
      <c r="F184" s="41">
        <f>REGISTRO_B.DATOS!F185</f>
        <v>0</v>
      </c>
      <c r="G184" s="41">
        <f>REGISTRO_B.DATOS!G185</f>
        <v>0</v>
      </c>
      <c r="H184" s="41">
        <f>REGISTRO_B.DATOS!H185</f>
        <v>0</v>
      </c>
      <c r="I184" s="41">
        <f>REGISTRO_B.DATOS!I185</f>
        <v>0</v>
      </c>
      <c r="J184" s="41">
        <f>REGISTRO_B.DATOS!J185</f>
        <v>0</v>
      </c>
      <c r="K184" s="43">
        <f>REGISTRO_B.DATOS!K185</f>
        <v>0</v>
      </c>
    </row>
    <row r="185" spans="1:11" x14ac:dyDescent="0.25">
      <c r="A185" s="40">
        <f>REGISTRO_B.DATOS!A186</f>
        <v>0</v>
      </c>
      <c r="B185" s="41">
        <f>REGISTRO_B.DATOS!B186</f>
        <v>0</v>
      </c>
      <c r="C185" s="41">
        <f>REGISTRO_B.DATOS!C186</f>
        <v>0</v>
      </c>
      <c r="D185" s="41">
        <f>REGISTRO_B.DATOS!D186</f>
        <v>0</v>
      </c>
      <c r="E185" s="42">
        <f>REGISTRO_B.DATOS!E186</f>
        <v>0</v>
      </c>
      <c r="F185" s="41">
        <f>REGISTRO_B.DATOS!F186</f>
        <v>0</v>
      </c>
      <c r="G185" s="41">
        <f>REGISTRO_B.DATOS!G186</f>
        <v>0</v>
      </c>
      <c r="H185" s="41">
        <f>REGISTRO_B.DATOS!H186</f>
        <v>0</v>
      </c>
      <c r="I185" s="41">
        <f>REGISTRO_B.DATOS!I186</f>
        <v>0</v>
      </c>
      <c r="J185" s="41">
        <f>REGISTRO_B.DATOS!J186</f>
        <v>0</v>
      </c>
      <c r="K185" s="43">
        <f>REGISTRO_B.DATOS!K186</f>
        <v>0</v>
      </c>
    </row>
    <row r="186" spans="1:11" x14ac:dyDescent="0.25">
      <c r="A186" s="40">
        <f>REGISTRO_B.DATOS!A187</f>
        <v>0</v>
      </c>
      <c r="B186" s="41">
        <f>REGISTRO_B.DATOS!B187</f>
        <v>0</v>
      </c>
      <c r="C186" s="41">
        <f>REGISTRO_B.DATOS!C187</f>
        <v>0</v>
      </c>
      <c r="D186" s="41">
        <f>REGISTRO_B.DATOS!D187</f>
        <v>0</v>
      </c>
      <c r="E186" s="42">
        <f>REGISTRO_B.DATOS!E187</f>
        <v>0</v>
      </c>
      <c r="F186" s="41">
        <f>REGISTRO_B.DATOS!F187</f>
        <v>0</v>
      </c>
      <c r="G186" s="41">
        <f>REGISTRO_B.DATOS!G187</f>
        <v>0</v>
      </c>
      <c r="H186" s="41">
        <f>REGISTRO_B.DATOS!H187</f>
        <v>0</v>
      </c>
      <c r="I186" s="41">
        <f>REGISTRO_B.DATOS!I187</f>
        <v>0</v>
      </c>
      <c r="J186" s="41">
        <f>REGISTRO_B.DATOS!J187</f>
        <v>0</v>
      </c>
      <c r="K186" s="43">
        <f>REGISTRO_B.DATOS!K187</f>
        <v>0</v>
      </c>
    </row>
    <row r="187" spans="1:11" x14ac:dyDescent="0.25">
      <c r="A187" s="40">
        <f>REGISTRO_B.DATOS!A188</f>
        <v>0</v>
      </c>
      <c r="B187" s="41">
        <f>REGISTRO_B.DATOS!B188</f>
        <v>0</v>
      </c>
      <c r="C187" s="41">
        <f>REGISTRO_B.DATOS!C188</f>
        <v>0</v>
      </c>
      <c r="D187" s="41">
        <f>REGISTRO_B.DATOS!D188</f>
        <v>0</v>
      </c>
      <c r="E187" s="42">
        <f>REGISTRO_B.DATOS!E188</f>
        <v>0</v>
      </c>
      <c r="F187" s="41">
        <f>REGISTRO_B.DATOS!F188</f>
        <v>0</v>
      </c>
      <c r="G187" s="41">
        <f>REGISTRO_B.DATOS!G188</f>
        <v>0</v>
      </c>
      <c r="H187" s="41">
        <f>REGISTRO_B.DATOS!H188</f>
        <v>0</v>
      </c>
      <c r="I187" s="41">
        <f>REGISTRO_B.DATOS!I188</f>
        <v>0</v>
      </c>
      <c r="J187" s="41">
        <f>REGISTRO_B.DATOS!J188</f>
        <v>0</v>
      </c>
      <c r="K187" s="43">
        <f>REGISTRO_B.DATOS!K188</f>
        <v>0</v>
      </c>
    </row>
    <row r="188" spans="1:11" x14ac:dyDescent="0.25">
      <c r="A188" s="40">
        <f>REGISTRO_B.DATOS!A189</f>
        <v>0</v>
      </c>
      <c r="B188" s="41">
        <f>REGISTRO_B.DATOS!B189</f>
        <v>0</v>
      </c>
      <c r="C188" s="41">
        <f>REGISTRO_B.DATOS!C189</f>
        <v>0</v>
      </c>
      <c r="D188" s="41">
        <f>REGISTRO_B.DATOS!D189</f>
        <v>0</v>
      </c>
      <c r="E188" s="42">
        <f>REGISTRO_B.DATOS!E189</f>
        <v>0</v>
      </c>
      <c r="F188" s="41">
        <f>REGISTRO_B.DATOS!F189</f>
        <v>0</v>
      </c>
      <c r="G188" s="41">
        <f>REGISTRO_B.DATOS!G189</f>
        <v>0</v>
      </c>
      <c r="H188" s="41">
        <f>REGISTRO_B.DATOS!H189</f>
        <v>0</v>
      </c>
      <c r="I188" s="41">
        <f>REGISTRO_B.DATOS!I189</f>
        <v>0</v>
      </c>
      <c r="J188" s="41">
        <f>REGISTRO_B.DATOS!J189</f>
        <v>0</v>
      </c>
      <c r="K188" s="43">
        <f>REGISTRO_B.DATOS!K189</f>
        <v>0</v>
      </c>
    </row>
    <row r="189" spans="1:11" x14ac:dyDescent="0.25">
      <c r="A189" s="40">
        <f>REGISTRO_B.DATOS!A190</f>
        <v>0</v>
      </c>
      <c r="B189" s="41">
        <f>REGISTRO_B.DATOS!B190</f>
        <v>0</v>
      </c>
      <c r="C189" s="41">
        <f>REGISTRO_B.DATOS!C190</f>
        <v>0</v>
      </c>
      <c r="D189" s="41">
        <f>REGISTRO_B.DATOS!D190</f>
        <v>0</v>
      </c>
      <c r="E189" s="42">
        <f>REGISTRO_B.DATOS!E190</f>
        <v>0</v>
      </c>
      <c r="F189" s="41">
        <f>REGISTRO_B.DATOS!F190</f>
        <v>0</v>
      </c>
      <c r="G189" s="41">
        <f>REGISTRO_B.DATOS!G190</f>
        <v>0</v>
      </c>
      <c r="H189" s="41">
        <f>REGISTRO_B.DATOS!H190</f>
        <v>0</v>
      </c>
      <c r="I189" s="41">
        <f>REGISTRO_B.DATOS!I190</f>
        <v>0</v>
      </c>
      <c r="J189" s="41">
        <f>REGISTRO_B.DATOS!J190</f>
        <v>0</v>
      </c>
      <c r="K189" s="43">
        <f>REGISTRO_B.DATOS!K190</f>
        <v>0</v>
      </c>
    </row>
    <row r="190" spans="1:11" x14ac:dyDescent="0.25">
      <c r="A190" s="40">
        <f>REGISTRO_B.DATOS!A191</f>
        <v>0</v>
      </c>
      <c r="B190" s="41">
        <f>REGISTRO_B.DATOS!B191</f>
        <v>0</v>
      </c>
      <c r="C190" s="41">
        <f>REGISTRO_B.DATOS!C191</f>
        <v>0</v>
      </c>
      <c r="D190" s="41">
        <f>REGISTRO_B.DATOS!D191</f>
        <v>0</v>
      </c>
      <c r="E190" s="42">
        <f>REGISTRO_B.DATOS!E191</f>
        <v>0</v>
      </c>
      <c r="F190" s="41">
        <f>REGISTRO_B.DATOS!F191</f>
        <v>0</v>
      </c>
      <c r="G190" s="41">
        <f>REGISTRO_B.DATOS!G191</f>
        <v>0</v>
      </c>
      <c r="H190" s="41">
        <f>REGISTRO_B.DATOS!H191</f>
        <v>0</v>
      </c>
      <c r="I190" s="41">
        <f>REGISTRO_B.DATOS!I191</f>
        <v>0</v>
      </c>
      <c r="J190" s="41">
        <f>REGISTRO_B.DATOS!J191</f>
        <v>0</v>
      </c>
      <c r="K190" s="43">
        <f>REGISTRO_B.DATOS!K191</f>
        <v>0</v>
      </c>
    </row>
    <row r="191" spans="1:11" x14ac:dyDescent="0.25">
      <c r="A191" s="40">
        <f>REGISTRO_B.DATOS!A192</f>
        <v>0</v>
      </c>
      <c r="B191" s="41">
        <f>REGISTRO_B.DATOS!B192</f>
        <v>0</v>
      </c>
      <c r="C191" s="41">
        <f>REGISTRO_B.DATOS!C192</f>
        <v>0</v>
      </c>
      <c r="D191" s="41">
        <f>REGISTRO_B.DATOS!D192</f>
        <v>0</v>
      </c>
      <c r="E191" s="42">
        <f>REGISTRO_B.DATOS!E192</f>
        <v>0</v>
      </c>
      <c r="F191" s="41">
        <f>REGISTRO_B.DATOS!F192</f>
        <v>0</v>
      </c>
      <c r="G191" s="41">
        <f>REGISTRO_B.DATOS!G192</f>
        <v>0</v>
      </c>
      <c r="H191" s="41">
        <f>REGISTRO_B.DATOS!H192</f>
        <v>0</v>
      </c>
      <c r="I191" s="41">
        <f>REGISTRO_B.DATOS!I192</f>
        <v>0</v>
      </c>
      <c r="J191" s="41">
        <f>REGISTRO_B.DATOS!J192</f>
        <v>0</v>
      </c>
      <c r="K191" s="43">
        <f>REGISTRO_B.DATOS!K192</f>
        <v>0</v>
      </c>
    </row>
    <row r="192" spans="1:11" x14ac:dyDescent="0.25">
      <c r="A192" s="40">
        <f>REGISTRO_B.DATOS!A193</f>
        <v>0</v>
      </c>
      <c r="B192" s="41">
        <f>REGISTRO_B.DATOS!B193</f>
        <v>0</v>
      </c>
      <c r="C192" s="41">
        <f>REGISTRO_B.DATOS!C193</f>
        <v>0</v>
      </c>
      <c r="D192" s="41">
        <f>REGISTRO_B.DATOS!D193</f>
        <v>0</v>
      </c>
      <c r="E192" s="42">
        <f>REGISTRO_B.DATOS!E193</f>
        <v>0</v>
      </c>
      <c r="F192" s="41">
        <f>REGISTRO_B.DATOS!F193</f>
        <v>0</v>
      </c>
      <c r="G192" s="41">
        <f>REGISTRO_B.DATOS!G193</f>
        <v>0</v>
      </c>
      <c r="H192" s="41">
        <f>REGISTRO_B.DATOS!H193</f>
        <v>0</v>
      </c>
      <c r="I192" s="41">
        <f>REGISTRO_B.DATOS!I193</f>
        <v>0</v>
      </c>
      <c r="J192" s="41">
        <f>REGISTRO_B.DATOS!J193</f>
        <v>0</v>
      </c>
      <c r="K192" s="43">
        <f>REGISTRO_B.DATOS!K193</f>
        <v>0</v>
      </c>
    </row>
    <row r="193" spans="1:11" x14ac:dyDescent="0.25">
      <c r="A193" s="40">
        <f>REGISTRO_B.DATOS!A194</f>
        <v>0</v>
      </c>
      <c r="B193" s="41">
        <f>REGISTRO_B.DATOS!B194</f>
        <v>0</v>
      </c>
      <c r="C193" s="41">
        <f>REGISTRO_B.DATOS!C194</f>
        <v>0</v>
      </c>
      <c r="D193" s="41">
        <f>REGISTRO_B.DATOS!D194</f>
        <v>0</v>
      </c>
      <c r="E193" s="42">
        <f>REGISTRO_B.DATOS!E194</f>
        <v>0</v>
      </c>
      <c r="F193" s="41">
        <f>REGISTRO_B.DATOS!F194</f>
        <v>0</v>
      </c>
      <c r="G193" s="41">
        <f>REGISTRO_B.DATOS!G194</f>
        <v>0</v>
      </c>
      <c r="H193" s="41">
        <f>REGISTRO_B.DATOS!H194</f>
        <v>0</v>
      </c>
      <c r="I193" s="41">
        <f>REGISTRO_B.DATOS!I194</f>
        <v>0</v>
      </c>
      <c r="J193" s="41">
        <f>REGISTRO_B.DATOS!J194</f>
        <v>0</v>
      </c>
      <c r="K193" s="43">
        <f>REGISTRO_B.DATOS!K194</f>
        <v>0</v>
      </c>
    </row>
    <row r="194" spans="1:11" x14ac:dyDescent="0.25">
      <c r="A194" s="40">
        <f>REGISTRO_B.DATOS!A195</f>
        <v>0</v>
      </c>
      <c r="B194" s="41">
        <f>REGISTRO_B.DATOS!B195</f>
        <v>0</v>
      </c>
      <c r="C194" s="41">
        <f>REGISTRO_B.DATOS!C195</f>
        <v>0</v>
      </c>
      <c r="D194" s="41">
        <f>REGISTRO_B.DATOS!D195</f>
        <v>0</v>
      </c>
      <c r="E194" s="42">
        <f>REGISTRO_B.DATOS!E195</f>
        <v>0</v>
      </c>
      <c r="F194" s="41">
        <f>REGISTRO_B.DATOS!F195</f>
        <v>0</v>
      </c>
      <c r="G194" s="41">
        <f>REGISTRO_B.DATOS!G195</f>
        <v>0</v>
      </c>
      <c r="H194" s="41">
        <f>REGISTRO_B.DATOS!H195</f>
        <v>0</v>
      </c>
      <c r="I194" s="41">
        <f>REGISTRO_B.DATOS!I195</f>
        <v>0</v>
      </c>
      <c r="J194" s="41">
        <f>REGISTRO_B.DATOS!J195</f>
        <v>0</v>
      </c>
      <c r="K194" s="43">
        <f>REGISTRO_B.DATOS!K195</f>
        <v>0</v>
      </c>
    </row>
    <row r="195" spans="1:11" x14ac:dyDescent="0.25">
      <c r="A195" s="40">
        <f>REGISTRO_B.DATOS!A196</f>
        <v>0</v>
      </c>
      <c r="B195" s="41">
        <f>REGISTRO_B.DATOS!B196</f>
        <v>0</v>
      </c>
      <c r="C195" s="41">
        <f>REGISTRO_B.DATOS!C196</f>
        <v>0</v>
      </c>
      <c r="D195" s="41">
        <f>REGISTRO_B.DATOS!D196</f>
        <v>0</v>
      </c>
      <c r="E195" s="42">
        <f>REGISTRO_B.DATOS!E196</f>
        <v>0</v>
      </c>
      <c r="F195" s="41">
        <f>REGISTRO_B.DATOS!F196</f>
        <v>0</v>
      </c>
      <c r="G195" s="41">
        <f>REGISTRO_B.DATOS!G196</f>
        <v>0</v>
      </c>
      <c r="H195" s="41">
        <f>REGISTRO_B.DATOS!H196</f>
        <v>0</v>
      </c>
      <c r="I195" s="41">
        <f>REGISTRO_B.DATOS!I196</f>
        <v>0</v>
      </c>
      <c r="J195" s="41">
        <f>REGISTRO_B.DATOS!J196</f>
        <v>0</v>
      </c>
      <c r="K195" s="43">
        <f>REGISTRO_B.DATOS!K196</f>
        <v>0</v>
      </c>
    </row>
    <row r="196" spans="1:11" x14ac:dyDescent="0.25">
      <c r="A196" s="40">
        <f>REGISTRO_B.DATOS!A197</f>
        <v>0</v>
      </c>
      <c r="B196" s="41">
        <f>REGISTRO_B.DATOS!B197</f>
        <v>0</v>
      </c>
      <c r="C196" s="41">
        <f>REGISTRO_B.DATOS!C197</f>
        <v>0</v>
      </c>
      <c r="D196" s="41">
        <f>REGISTRO_B.DATOS!D197</f>
        <v>0</v>
      </c>
      <c r="E196" s="42">
        <f>REGISTRO_B.DATOS!E197</f>
        <v>0</v>
      </c>
      <c r="F196" s="41">
        <f>REGISTRO_B.DATOS!F197</f>
        <v>0</v>
      </c>
      <c r="G196" s="41">
        <f>REGISTRO_B.DATOS!G197</f>
        <v>0</v>
      </c>
      <c r="H196" s="41">
        <f>REGISTRO_B.DATOS!H197</f>
        <v>0</v>
      </c>
      <c r="I196" s="41">
        <f>REGISTRO_B.DATOS!I197</f>
        <v>0</v>
      </c>
      <c r="J196" s="41">
        <f>REGISTRO_B.DATOS!J197</f>
        <v>0</v>
      </c>
      <c r="K196" s="43">
        <f>REGISTRO_B.DATOS!K197</f>
        <v>0</v>
      </c>
    </row>
    <row r="197" spans="1:11" x14ac:dyDescent="0.25">
      <c r="A197" s="40">
        <f>REGISTRO_B.DATOS!A198</f>
        <v>0</v>
      </c>
      <c r="B197" s="41">
        <f>REGISTRO_B.DATOS!B198</f>
        <v>0</v>
      </c>
      <c r="C197" s="41">
        <f>REGISTRO_B.DATOS!C198</f>
        <v>0</v>
      </c>
      <c r="D197" s="41">
        <f>REGISTRO_B.DATOS!D198</f>
        <v>0</v>
      </c>
      <c r="E197" s="42">
        <f>REGISTRO_B.DATOS!E198</f>
        <v>0</v>
      </c>
      <c r="F197" s="41">
        <f>REGISTRO_B.DATOS!F198</f>
        <v>0</v>
      </c>
      <c r="G197" s="41">
        <f>REGISTRO_B.DATOS!G198</f>
        <v>0</v>
      </c>
      <c r="H197" s="41">
        <f>REGISTRO_B.DATOS!H198</f>
        <v>0</v>
      </c>
      <c r="I197" s="41">
        <f>REGISTRO_B.DATOS!I198</f>
        <v>0</v>
      </c>
      <c r="J197" s="41">
        <f>REGISTRO_B.DATOS!J198</f>
        <v>0</v>
      </c>
      <c r="K197" s="43">
        <f>REGISTRO_B.DATOS!K198</f>
        <v>0</v>
      </c>
    </row>
    <row r="198" spans="1:11" x14ac:dyDescent="0.25">
      <c r="A198" s="40">
        <f>REGISTRO_B.DATOS!A199</f>
        <v>0</v>
      </c>
      <c r="B198" s="41">
        <f>REGISTRO_B.DATOS!B199</f>
        <v>0</v>
      </c>
      <c r="C198" s="41">
        <f>REGISTRO_B.DATOS!C199</f>
        <v>0</v>
      </c>
      <c r="D198" s="41">
        <f>REGISTRO_B.DATOS!D199</f>
        <v>0</v>
      </c>
      <c r="E198" s="42">
        <f>REGISTRO_B.DATOS!E199</f>
        <v>0</v>
      </c>
      <c r="F198" s="41">
        <f>REGISTRO_B.DATOS!F199</f>
        <v>0</v>
      </c>
      <c r="G198" s="41">
        <f>REGISTRO_B.DATOS!G199</f>
        <v>0</v>
      </c>
      <c r="H198" s="41">
        <f>REGISTRO_B.DATOS!H199</f>
        <v>0</v>
      </c>
      <c r="I198" s="41">
        <f>REGISTRO_B.DATOS!I199</f>
        <v>0</v>
      </c>
      <c r="J198" s="41">
        <f>REGISTRO_B.DATOS!J199</f>
        <v>0</v>
      </c>
      <c r="K198" s="43">
        <f>REGISTRO_B.DATOS!K199</f>
        <v>0</v>
      </c>
    </row>
    <row r="199" spans="1:11" x14ac:dyDescent="0.25">
      <c r="A199" s="40">
        <f>REGISTRO_B.DATOS!A200</f>
        <v>0</v>
      </c>
      <c r="B199" s="41">
        <f>REGISTRO_B.DATOS!B200</f>
        <v>0</v>
      </c>
      <c r="C199" s="41">
        <f>REGISTRO_B.DATOS!C200</f>
        <v>0</v>
      </c>
      <c r="D199" s="41">
        <f>REGISTRO_B.DATOS!D200</f>
        <v>0</v>
      </c>
      <c r="E199" s="42">
        <f>REGISTRO_B.DATOS!E200</f>
        <v>0</v>
      </c>
      <c r="F199" s="41">
        <f>REGISTRO_B.DATOS!F200</f>
        <v>0</v>
      </c>
      <c r="G199" s="41">
        <f>REGISTRO_B.DATOS!G200</f>
        <v>0</v>
      </c>
      <c r="H199" s="41">
        <f>REGISTRO_B.DATOS!H200</f>
        <v>0</v>
      </c>
      <c r="I199" s="41">
        <f>REGISTRO_B.DATOS!I200</f>
        <v>0</v>
      </c>
      <c r="J199" s="41">
        <f>REGISTRO_B.DATOS!J200</f>
        <v>0</v>
      </c>
      <c r="K199" s="43">
        <f>REGISTRO_B.DATOS!K200</f>
        <v>0</v>
      </c>
    </row>
    <row r="200" spans="1:11" x14ac:dyDescent="0.25">
      <c r="A200" s="40">
        <f>REGISTRO_B.DATOS!A201</f>
        <v>0</v>
      </c>
      <c r="B200" s="41">
        <f>REGISTRO_B.DATOS!B201</f>
        <v>0</v>
      </c>
      <c r="C200" s="41">
        <f>REGISTRO_B.DATOS!C201</f>
        <v>0</v>
      </c>
      <c r="D200" s="41">
        <f>REGISTRO_B.DATOS!D201</f>
        <v>0</v>
      </c>
      <c r="E200" s="42">
        <f>REGISTRO_B.DATOS!E201</f>
        <v>0</v>
      </c>
      <c r="F200" s="41">
        <f>REGISTRO_B.DATOS!F201</f>
        <v>0</v>
      </c>
      <c r="G200" s="41">
        <f>REGISTRO_B.DATOS!G201</f>
        <v>0</v>
      </c>
      <c r="H200" s="41">
        <f>REGISTRO_B.DATOS!H201</f>
        <v>0</v>
      </c>
      <c r="I200" s="41">
        <f>REGISTRO_B.DATOS!I201</f>
        <v>0</v>
      </c>
      <c r="J200" s="41">
        <f>REGISTRO_B.DATOS!J201</f>
        <v>0</v>
      </c>
      <c r="K200" s="43">
        <f>REGISTRO_B.DATOS!K201</f>
        <v>0</v>
      </c>
    </row>
    <row r="201" spans="1:11" x14ac:dyDescent="0.25">
      <c r="A201" s="40">
        <f>REGISTRO_B.DATOS!A202</f>
        <v>0</v>
      </c>
      <c r="B201" s="41">
        <f>REGISTRO_B.DATOS!B202</f>
        <v>0</v>
      </c>
      <c r="C201" s="41">
        <f>REGISTRO_B.DATOS!C202</f>
        <v>0</v>
      </c>
      <c r="D201" s="41">
        <f>REGISTRO_B.DATOS!D202</f>
        <v>0</v>
      </c>
      <c r="E201" s="42">
        <f>REGISTRO_B.DATOS!E202</f>
        <v>0</v>
      </c>
      <c r="F201" s="41">
        <f>REGISTRO_B.DATOS!F202</f>
        <v>0</v>
      </c>
      <c r="G201" s="41">
        <f>REGISTRO_B.DATOS!G202</f>
        <v>0</v>
      </c>
      <c r="H201" s="41">
        <f>REGISTRO_B.DATOS!H202</f>
        <v>0</v>
      </c>
      <c r="I201" s="41">
        <f>REGISTRO_B.DATOS!I202</f>
        <v>0</v>
      </c>
      <c r="J201" s="41">
        <f>REGISTRO_B.DATOS!J202</f>
        <v>0</v>
      </c>
      <c r="K201" s="43">
        <f>REGISTRO_B.DATOS!K202</f>
        <v>0</v>
      </c>
    </row>
    <row r="202" spans="1:11" x14ac:dyDescent="0.25">
      <c r="A202" s="40">
        <f>REGISTRO_B.DATOS!A203</f>
        <v>0</v>
      </c>
      <c r="B202" s="41">
        <f>REGISTRO_B.DATOS!B203</f>
        <v>0</v>
      </c>
      <c r="C202" s="41">
        <f>REGISTRO_B.DATOS!C203</f>
        <v>0</v>
      </c>
      <c r="D202" s="41">
        <f>REGISTRO_B.DATOS!D203</f>
        <v>0</v>
      </c>
      <c r="E202" s="42">
        <f>REGISTRO_B.DATOS!E203</f>
        <v>0</v>
      </c>
      <c r="F202" s="41">
        <f>REGISTRO_B.DATOS!F203</f>
        <v>0</v>
      </c>
      <c r="G202" s="41">
        <f>REGISTRO_B.DATOS!G203</f>
        <v>0</v>
      </c>
      <c r="H202" s="41">
        <f>REGISTRO_B.DATOS!H203</f>
        <v>0</v>
      </c>
      <c r="I202" s="41">
        <f>REGISTRO_B.DATOS!I203</f>
        <v>0</v>
      </c>
      <c r="J202" s="41">
        <f>REGISTRO_B.DATOS!J203</f>
        <v>0</v>
      </c>
      <c r="K202" s="43">
        <f>REGISTRO_B.DATOS!K203</f>
        <v>0</v>
      </c>
    </row>
    <row r="203" spans="1:11" x14ac:dyDescent="0.25">
      <c r="A203" s="40">
        <f>REGISTRO_B.DATOS!A204</f>
        <v>0</v>
      </c>
      <c r="B203" s="41">
        <f>REGISTRO_B.DATOS!B204</f>
        <v>0</v>
      </c>
      <c r="C203" s="41">
        <f>REGISTRO_B.DATOS!C204</f>
        <v>0</v>
      </c>
      <c r="D203" s="41">
        <f>REGISTRO_B.DATOS!D204</f>
        <v>0</v>
      </c>
      <c r="E203" s="42">
        <f>REGISTRO_B.DATOS!E204</f>
        <v>0</v>
      </c>
      <c r="F203" s="41">
        <f>REGISTRO_B.DATOS!F204</f>
        <v>0</v>
      </c>
      <c r="G203" s="41">
        <f>REGISTRO_B.DATOS!G204</f>
        <v>0</v>
      </c>
      <c r="H203" s="41">
        <f>REGISTRO_B.DATOS!H204</f>
        <v>0</v>
      </c>
      <c r="I203" s="41">
        <f>REGISTRO_B.DATOS!I204</f>
        <v>0</v>
      </c>
      <c r="J203" s="41">
        <f>REGISTRO_B.DATOS!J204</f>
        <v>0</v>
      </c>
      <c r="K203" s="43">
        <f>REGISTRO_B.DATOS!K204</f>
        <v>0</v>
      </c>
    </row>
    <row r="204" spans="1:11" x14ac:dyDescent="0.25">
      <c r="A204" s="40">
        <f>REGISTRO_B.DATOS!A205</f>
        <v>0</v>
      </c>
      <c r="B204" s="41">
        <f>REGISTRO_B.DATOS!B205</f>
        <v>0</v>
      </c>
      <c r="C204" s="41">
        <f>REGISTRO_B.DATOS!C205</f>
        <v>0</v>
      </c>
      <c r="D204" s="41">
        <f>REGISTRO_B.DATOS!D205</f>
        <v>0</v>
      </c>
      <c r="E204" s="42">
        <f>REGISTRO_B.DATOS!E205</f>
        <v>0</v>
      </c>
      <c r="F204" s="41">
        <f>REGISTRO_B.DATOS!F205</f>
        <v>0</v>
      </c>
      <c r="G204" s="41">
        <f>REGISTRO_B.DATOS!G205</f>
        <v>0</v>
      </c>
      <c r="H204" s="41">
        <f>REGISTRO_B.DATOS!H205</f>
        <v>0</v>
      </c>
      <c r="I204" s="41">
        <f>REGISTRO_B.DATOS!I205</f>
        <v>0</v>
      </c>
      <c r="J204" s="41">
        <f>REGISTRO_B.DATOS!J205</f>
        <v>0</v>
      </c>
      <c r="K204" s="43">
        <f>REGISTRO_B.DATOS!K205</f>
        <v>0</v>
      </c>
    </row>
    <row r="205" spans="1:11" x14ac:dyDescent="0.25">
      <c r="A205" s="40">
        <f>REGISTRO_B.DATOS!A206</f>
        <v>0</v>
      </c>
      <c r="B205" s="41">
        <f>REGISTRO_B.DATOS!B206</f>
        <v>0</v>
      </c>
      <c r="C205" s="41">
        <f>REGISTRO_B.DATOS!C206</f>
        <v>0</v>
      </c>
      <c r="D205" s="41">
        <f>REGISTRO_B.DATOS!D206</f>
        <v>0</v>
      </c>
      <c r="E205" s="42">
        <f>REGISTRO_B.DATOS!E206</f>
        <v>0</v>
      </c>
      <c r="F205" s="41">
        <f>REGISTRO_B.DATOS!F206</f>
        <v>0</v>
      </c>
      <c r="G205" s="41">
        <f>REGISTRO_B.DATOS!G206</f>
        <v>0</v>
      </c>
      <c r="H205" s="41">
        <f>REGISTRO_B.DATOS!H206</f>
        <v>0</v>
      </c>
      <c r="I205" s="41">
        <f>REGISTRO_B.DATOS!I206</f>
        <v>0</v>
      </c>
      <c r="J205" s="41">
        <f>REGISTRO_B.DATOS!J206</f>
        <v>0</v>
      </c>
      <c r="K205" s="43">
        <f>REGISTRO_B.DATOS!K206</f>
        <v>0</v>
      </c>
    </row>
    <row r="206" spans="1:11" x14ac:dyDescent="0.25">
      <c r="A206" s="40">
        <f>REGISTRO_B.DATOS!A207</f>
        <v>0</v>
      </c>
      <c r="B206" s="41">
        <f>REGISTRO_B.DATOS!B207</f>
        <v>0</v>
      </c>
      <c r="C206" s="41">
        <f>REGISTRO_B.DATOS!C207</f>
        <v>0</v>
      </c>
      <c r="D206" s="41">
        <f>REGISTRO_B.DATOS!D207</f>
        <v>0</v>
      </c>
      <c r="E206" s="42">
        <f>REGISTRO_B.DATOS!E207</f>
        <v>0</v>
      </c>
      <c r="F206" s="41">
        <f>REGISTRO_B.DATOS!F207</f>
        <v>0</v>
      </c>
      <c r="G206" s="41">
        <f>REGISTRO_B.DATOS!G207</f>
        <v>0</v>
      </c>
      <c r="H206" s="41">
        <f>REGISTRO_B.DATOS!H207</f>
        <v>0</v>
      </c>
      <c r="I206" s="41">
        <f>REGISTRO_B.DATOS!I207</f>
        <v>0</v>
      </c>
      <c r="J206" s="41">
        <f>REGISTRO_B.DATOS!J207</f>
        <v>0</v>
      </c>
      <c r="K206" s="43">
        <f>REGISTRO_B.DATOS!K207</f>
        <v>0</v>
      </c>
    </row>
    <row r="207" spans="1:11" x14ac:dyDescent="0.25">
      <c r="A207" s="40">
        <f>REGISTRO_B.DATOS!A208</f>
        <v>0</v>
      </c>
      <c r="B207" s="41">
        <f>REGISTRO_B.DATOS!B208</f>
        <v>0</v>
      </c>
      <c r="C207" s="41">
        <f>REGISTRO_B.DATOS!C208</f>
        <v>0</v>
      </c>
      <c r="D207" s="41">
        <f>REGISTRO_B.DATOS!D208</f>
        <v>0</v>
      </c>
      <c r="E207" s="42">
        <f>REGISTRO_B.DATOS!E208</f>
        <v>0</v>
      </c>
      <c r="F207" s="41">
        <f>REGISTRO_B.DATOS!F208</f>
        <v>0</v>
      </c>
      <c r="G207" s="41">
        <f>REGISTRO_B.DATOS!G208</f>
        <v>0</v>
      </c>
      <c r="H207" s="41">
        <f>REGISTRO_B.DATOS!H208</f>
        <v>0</v>
      </c>
      <c r="I207" s="41">
        <f>REGISTRO_B.DATOS!I208</f>
        <v>0</v>
      </c>
      <c r="J207" s="41">
        <f>REGISTRO_B.DATOS!J208</f>
        <v>0</v>
      </c>
      <c r="K207" s="43">
        <f>REGISTRO_B.DATOS!K208</f>
        <v>0</v>
      </c>
    </row>
    <row r="208" spans="1:11" x14ac:dyDescent="0.25">
      <c r="A208" s="40">
        <f>REGISTRO_B.DATOS!A209</f>
        <v>0</v>
      </c>
      <c r="B208" s="41">
        <f>REGISTRO_B.DATOS!B209</f>
        <v>0</v>
      </c>
      <c r="C208" s="41">
        <f>REGISTRO_B.DATOS!C209</f>
        <v>0</v>
      </c>
      <c r="D208" s="41">
        <f>REGISTRO_B.DATOS!D209</f>
        <v>0</v>
      </c>
      <c r="E208" s="42">
        <f>REGISTRO_B.DATOS!E209</f>
        <v>0</v>
      </c>
      <c r="F208" s="41">
        <f>REGISTRO_B.DATOS!F209</f>
        <v>0</v>
      </c>
      <c r="G208" s="41">
        <f>REGISTRO_B.DATOS!G209</f>
        <v>0</v>
      </c>
      <c r="H208" s="41">
        <f>REGISTRO_B.DATOS!H209</f>
        <v>0</v>
      </c>
      <c r="I208" s="41">
        <f>REGISTRO_B.DATOS!I209</f>
        <v>0</v>
      </c>
      <c r="J208" s="41">
        <f>REGISTRO_B.DATOS!J209</f>
        <v>0</v>
      </c>
      <c r="K208" s="43">
        <f>REGISTRO_B.DATOS!K209</f>
        <v>0</v>
      </c>
    </row>
    <row r="209" spans="1:11" x14ac:dyDescent="0.25">
      <c r="A209" s="40">
        <f>REGISTRO_B.DATOS!A210</f>
        <v>0</v>
      </c>
      <c r="B209" s="41">
        <f>REGISTRO_B.DATOS!B210</f>
        <v>0</v>
      </c>
      <c r="C209" s="41">
        <f>REGISTRO_B.DATOS!C210</f>
        <v>0</v>
      </c>
      <c r="D209" s="41">
        <f>REGISTRO_B.DATOS!D210</f>
        <v>0</v>
      </c>
      <c r="E209" s="42">
        <f>REGISTRO_B.DATOS!E210</f>
        <v>0</v>
      </c>
      <c r="F209" s="41">
        <f>REGISTRO_B.DATOS!F210</f>
        <v>0</v>
      </c>
      <c r="G209" s="41">
        <f>REGISTRO_B.DATOS!G210</f>
        <v>0</v>
      </c>
      <c r="H209" s="41">
        <f>REGISTRO_B.DATOS!H210</f>
        <v>0</v>
      </c>
      <c r="I209" s="41">
        <f>REGISTRO_B.DATOS!I210</f>
        <v>0</v>
      </c>
      <c r="J209" s="41">
        <f>REGISTRO_B.DATOS!J210</f>
        <v>0</v>
      </c>
      <c r="K209" s="43">
        <f>REGISTRO_B.DATOS!K210</f>
        <v>0</v>
      </c>
    </row>
    <row r="210" spans="1:11" x14ac:dyDescent="0.25">
      <c r="A210" s="40">
        <f>REGISTRO_B.DATOS!A211</f>
        <v>0</v>
      </c>
      <c r="B210" s="41">
        <f>REGISTRO_B.DATOS!B211</f>
        <v>0</v>
      </c>
      <c r="C210" s="41">
        <f>REGISTRO_B.DATOS!C211</f>
        <v>0</v>
      </c>
      <c r="D210" s="41">
        <f>REGISTRO_B.DATOS!D211</f>
        <v>0</v>
      </c>
      <c r="E210" s="42">
        <f>REGISTRO_B.DATOS!E211</f>
        <v>0</v>
      </c>
      <c r="F210" s="41">
        <f>REGISTRO_B.DATOS!F211</f>
        <v>0</v>
      </c>
      <c r="G210" s="41">
        <f>REGISTRO_B.DATOS!G211</f>
        <v>0</v>
      </c>
      <c r="H210" s="41">
        <f>REGISTRO_B.DATOS!H211</f>
        <v>0</v>
      </c>
      <c r="I210" s="41">
        <f>REGISTRO_B.DATOS!I211</f>
        <v>0</v>
      </c>
      <c r="J210" s="41">
        <f>REGISTRO_B.DATOS!J211</f>
        <v>0</v>
      </c>
      <c r="K210" s="43">
        <f>REGISTRO_B.DATOS!K211</f>
        <v>0</v>
      </c>
    </row>
    <row r="211" spans="1:11" x14ac:dyDescent="0.25">
      <c r="A211" s="40">
        <f>REGISTRO_B.DATOS!A212</f>
        <v>0</v>
      </c>
      <c r="B211" s="41">
        <f>REGISTRO_B.DATOS!B212</f>
        <v>0</v>
      </c>
      <c r="C211" s="41">
        <f>REGISTRO_B.DATOS!C212</f>
        <v>0</v>
      </c>
      <c r="D211" s="41">
        <f>REGISTRO_B.DATOS!D212</f>
        <v>0</v>
      </c>
      <c r="E211" s="42">
        <f>REGISTRO_B.DATOS!E212</f>
        <v>0</v>
      </c>
      <c r="F211" s="41">
        <f>REGISTRO_B.DATOS!F212</f>
        <v>0</v>
      </c>
      <c r="G211" s="41">
        <f>REGISTRO_B.DATOS!G212</f>
        <v>0</v>
      </c>
      <c r="H211" s="41">
        <f>REGISTRO_B.DATOS!H212</f>
        <v>0</v>
      </c>
      <c r="I211" s="41">
        <f>REGISTRO_B.DATOS!I212</f>
        <v>0</v>
      </c>
      <c r="J211" s="41">
        <f>REGISTRO_B.DATOS!J212</f>
        <v>0</v>
      </c>
      <c r="K211" s="43">
        <f>REGISTRO_B.DATOS!K212</f>
        <v>0</v>
      </c>
    </row>
    <row r="212" spans="1:11" x14ac:dyDescent="0.25">
      <c r="A212" s="40">
        <f>REGISTRO_B.DATOS!A213</f>
        <v>0</v>
      </c>
      <c r="B212" s="41">
        <f>REGISTRO_B.DATOS!B213</f>
        <v>0</v>
      </c>
      <c r="C212" s="41">
        <f>REGISTRO_B.DATOS!C213</f>
        <v>0</v>
      </c>
      <c r="D212" s="41">
        <f>REGISTRO_B.DATOS!D213</f>
        <v>0</v>
      </c>
      <c r="E212" s="42">
        <f>REGISTRO_B.DATOS!E213</f>
        <v>0</v>
      </c>
      <c r="F212" s="41">
        <f>REGISTRO_B.DATOS!F213</f>
        <v>0</v>
      </c>
      <c r="G212" s="41">
        <f>REGISTRO_B.DATOS!G213</f>
        <v>0</v>
      </c>
      <c r="H212" s="41">
        <f>REGISTRO_B.DATOS!H213</f>
        <v>0</v>
      </c>
      <c r="I212" s="41">
        <f>REGISTRO_B.DATOS!I213</f>
        <v>0</v>
      </c>
      <c r="J212" s="41">
        <f>REGISTRO_B.DATOS!J213</f>
        <v>0</v>
      </c>
      <c r="K212" s="43">
        <f>REGISTRO_B.DATOS!K213</f>
        <v>0</v>
      </c>
    </row>
    <row r="213" spans="1:11" x14ac:dyDescent="0.25">
      <c r="A213" s="40">
        <f>REGISTRO_B.DATOS!A214</f>
        <v>0</v>
      </c>
      <c r="B213" s="41">
        <f>REGISTRO_B.DATOS!B214</f>
        <v>0</v>
      </c>
      <c r="C213" s="41">
        <f>REGISTRO_B.DATOS!C214</f>
        <v>0</v>
      </c>
      <c r="D213" s="41">
        <f>REGISTRO_B.DATOS!D214</f>
        <v>0</v>
      </c>
      <c r="E213" s="42">
        <f>REGISTRO_B.DATOS!E214</f>
        <v>0</v>
      </c>
      <c r="F213" s="41">
        <f>REGISTRO_B.DATOS!F214</f>
        <v>0</v>
      </c>
      <c r="G213" s="41">
        <f>REGISTRO_B.DATOS!G214</f>
        <v>0</v>
      </c>
      <c r="H213" s="41">
        <f>REGISTRO_B.DATOS!H214</f>
        <v>0</v>
      </c>
      <c r="I213" s="41">
        <f>REGISTRO_B.DATOS!I214</f>
        <v>0</v>
      </c>
      <c r="J213" s="41">
        <f>REGISTRO_B.DATOS!J214</f>
        <v>0</v>
      </c>
      <c r="K213" s="43">
        <f>REGISTRO_B.DATOS!K214</f>
        <v>0</v>
      </c>
    </row>
    <row r="214" spans="1:11" x14ac:dyDescent="0.25">
      <c r="A214" s="40">
        <f>REGISTRO_B.DATOS!A215</f>
        <v>0</v>
      </c>
      <c r="B214" s="41">
        <f>REGISTRO_B.DATOS!B215</f>
        <v>0</v>
      </c>
      <c r="C214" s="41">
        <f>REGISTRO_B.DATOS!C215</f>
        <v>0</v>
      </c>
      <c r="D214" s="41">
        <f>REGISTRO_B.DATOS!D215</f>
        <v>0</v>
      </c>
      <c r="E214" s="42">
        <f>REGISTRO_B.DATOS!E215</f>
        <v>0</v>
      </c>
      <c r="F214" s="41">
        <f>REGISTRO_B.DATOS!F215</f>
        <v>0</v>
      </c>
      <c r="G214" s="41">
        <f>REGISTRO_B.DATOS!G215</f>
        <v>0</v>
      </c>
      <c r="H214" s="41">
        <f>REGISTRO_B.DATOS!H215</f>
        <v>0</v>
      </c>
      <c r="I214" s="41">
        <f>REGISTRO_B.DATOS!I215</f>
        <v>0</v>
      </c>
      <c r="J214" s="41">
        <f>REGISTRO_B.DATOS!J215</f>
        <v>0</v>
      </c>
      <c r="K214" s="43">
        <f>REGISTRO_B.DATOS!K215</f>
        <v>0</v>
      </c>
    </row>
    <row r="215" spans="1:11" x14ac:dyDescent="0.25">
      <c r="A215" s="40">
        <f>REGISTRO_B.DATOS!A216</f>
        <v>0</v>
      </c>
      <c r="B215" s="41">
        <f>REGISTRO_B.DATOS!B216</f>
        <v>0</v>
      </c>
      <c r="C215" s="41">
        <f>REGISTRO_B.DATOS!C216</f>
        <v>0</v>
      </c>
      <c r="D215" s="41">
        <f>REGISTRO_B.DATOS!D216</f>
        <v>0</v>
      </c>
      <c r="E215" s="42">
        <f>REGISTRO_B.DATOS!E216</f>
        <v>0</v>
      </c>
      <c r="F215" s="41">
        <f>REGISTRO_B.DATOS!F216</f>
        <v>0</v>
      </c>
      <c r="G215" s="41">
        <f>REGISTRO_B.DATOS!G216</f>
        <v>0</v>
      </c>
      <c r="H215" s="41">
        <f>REGISTRO_B.DATOS!H216</f>
        <v>0</v>
      </c>
      <c r="I215" s="41">
        <f>REGISTRO_B.DATOS!I216</f>
        <v>0</v>
      </c>
      <c r="J215" s="41">
        <f>REGISTRO_B.DATOS!J216</f>
        <v>0</v>
      </c>
      <c r="K215" s="43">
        <f>REGISTRO_B.DATOS!K216</f>
        <v>0</v>
      </c>
    </row>
    <row r="216" spans="1:11" x14ac:dyDescent="0.25">
      <c r="A216" s="40">
        <f>REGISTRO_B.DATOS!A217</f>
        <v>0</v>
      </c>
      <c r="B216" s="41">
        <f>REGISTRO_B.DATOS!B217</f>
        <v>0</v>
      </c>
      <c r="C216" s="41">
        <f>REGISTRO_B.DATOS!C217</f>
        <v>0</v>
      </c>
      <c r="D216" s="41">
        <f>REGISTRO_B.DATOS!D217</f>
        <v>0</v>
      </c>
      <c r="E216" s="42">
        <f>REGISTRO_B.DATOS!E217</f>
        <v>0</v>
      </c>
      <c r="F216" s="41">
        <f>REGISTRO_B.DATOS!F217</f>
        <v>0</v>
      </c>
      <c r="G216" s="41">
        <f>REGISTRO_B.DATOS!G217</f>
        <v>0</v>
      </c>
      <c r="H216" s="41">
        <f>REGISTRO_B.DATOS!H217</f>
        <v>0</v>
      </c>
      <c r="I216" s="41">
        <f>REGISTRO_B.DATOS!I217</f>
        <v>0</v>
      </c>
      <c r="J216" s="41">
        <f>REGISTRO_B.DATOS!J217</f>
        <v>0</v>
      </c>
      <c r="K216" s="43">
        <f>REGISTRO_B.DATOS!K217</f>
        <v>0</v>
      </c>
    </row>
    <row r="217" spans="1:11" x14ac:dyDescent="0.25">
      <c r="A217" s="40">
        <f>REGISTRO_B.DATOS!A218</f>
        <v>0</v>
      </c>
      <c r="B217" s="41">
        <f>REGISTRO_B.DATOS!B218</f>
        <v>0</v>
      </c>
      <c r="C217" s="41">
        <f>REGISTRO_B.DATOS!C218</f>
        <v>0</v>
      </c>
      <c r="D217" s="41">
        <f>REGISTRO_B.DATOS!D218</f>
        <v>0</v>
      </c>
      <c r="E217" s="42">
        <f>REGISTRO_B.DATOS!E218</f>
        <v>0</v>
      </c>
      <c r="F217" s="41">
        <f>REGISTRO_B.DATOS!F218</f>
        <v>0</v>
      </c>
      <c r="G217" s="41">
        <f>REGISTRO_B.DATOS!G218</f>
        <v>0</v>
      </c>
      <c r="H217" s="41">
        <f>REGISTRO_B.DATOS!H218</f>
        <v>0</v>
      </c>
      <c r="I217" s="41">
        <f>REGISTRO_B.DATOS!I218</f>
        <v>0</v>
      </c>
      <c r="J217" s="41">
        <f>REGISTRO_B.DATOS!J218</f>
        <v>0</v>
      </c>
      <c r="K217" s="43">
        <f>REGISTRO_B.DATOS!K218</f>
        <v>0</v>
      </c>
    </row>
    <row r="218" spans="1:11" x14ac:dyDescent="0.25">
      <c r="A218" s="40">
        <f>REGISTRO_B.DATOS!A219</f>
        <v>0</v>
      </c>
      <c r="B218" s="41">
        <f>REGISTRO_B.DATOS!B219</f>
        <v>0</v>
      </c>
      <c r="C218" s="41">
        <f>REGISTRO_B.DATOS!C219</f>
        <v>0</v>
      </c>
      <c r="D218" s="41">
        <f>REGISTRO_B.DATOS!D219</f>
        <v>0</v>
      </c>
      <c r="E218" s="42">
        <f>REGISTRO_B.DATOS!E219</f>
        <v>0</v>
      </c>
      <c r="F218" s="41">
        <f>REGISTRO_B.DATOS!F219</f>
        <v>0</v>
      </c>
      <c r="G218" s="41">
        <f>REGISTRO_B.DATOS!G219</f>
        <v>0</v>
      </c>
      <c r="H218" s="41">
        <f>REGISTRO_B.DATOS!H219</f>
        <v>0</v>
      </c>
      <c r="I218" s="41">
        <f>REGISTRO_B.DATOS!I219</f>
        <v>0</v>
      </c>
      <c r="J218" s="41">
        <f>REGISTRO_B.DATOS!J219</f>
        <v>0</v>
      </c>
      <c r="K218" s="43">
        <f>REGISTRO_B.DATOS!K219</f>
        <v>0</v>
      </c>
    </row>
    <row r="219" spans="1:11" x14ac:dyDescent="0.25">
      <c r="A219" s="40">
        <f>REGISTRO_B.DATOS!A220</f>
        <v>0</v>
      </c>
      <c r="B219" s="41">
        <f>REGISTRO_B.DATOS!B220</f>
        <v>0</v>
      </c>
      <c r="C219" s="41">
        <f>REGISTRO_B.DATOS!C220</f>
        <v>0</v>
      </c>
      <c r="D219" s="41">
        <f>REGISTRO_B.DATOS!D220</f>
        <v>0</v>
      </c>
      <c r="E219" s="42">
        <f>REGISTRO_B.DATOS!E220</f>
        <v>0</v>
      </c>
      <c r="F219" s="41">
        <f>REGISTRO_B.DATOS!F220</f>
        <v>0</v>
      </c>
      <c r="G219" s="41">
        <f>REGISTRO_B.DATOS!G220</f>
        <v>0</v>
      </c>
      <c r="H219" s="41">
        <f>REGISTRO_B.DATOS!H220</f>
        <v>0</v>
      </c>
      <c r="I219" s="41">
        <f>REGISTRO_B.DATOS!I220</f>
        <v>0</v>
      </c>
      <c r="J219" s="41">
        <f>REGISTRO_B.DATOS!J220</f>
        <v>0</v>
      </c>
      <c r="K219" s="43">
        <f>REGISTRO_B.DATOS!K220</f>
        <v>0</v>
      </c>
    </row>
    <row r="220" spans="1:11" x14ac:dyDescent="0.25">
      <c r="A220" s="40">
        <f>REGISTRO_B.DATOS!A221</f>
        <v>0</v>
      </c>
      <c r="B220" s="41">
        <f>REGISTRO_B.DATOS!B221</f>
        <v>0</v>
      </c>
      <c r="C220" s="41">
        <f>REGISTRO_B.DATOS!C221</f>
        <v>0</v>
      </c>
      <c r="D220" s="41">
        <f>REGISTRO_B.DATOS!D221</f>
        <v>0</v>
      </c>
      <c r="E220" s="42">
        <f>REGISTRO_B.DATOS!E221</f>
        <v>0</v>
      </c>
      <c r="F220" s="41">
        <f>REGISTRO_B.DATOS!F221</f>
        <v>0</v>
      </c>
      <c r="G220" s="41">
        <f>REGISTRO_B.DATOS!G221</f>
        <v>0</v>
      </c>
      <c r="H220" s="41">
        <f>REGISTRO_B.DATOS!H221</f>
        <v>0</v>
      </c>
      <c r="I220" s="41">
        <f>REGISTRO_B.DATOS!I221</f>
        <v>0</v>
      </c>
      <c r="J220" s="41">
        <f>REGISTRO_B.DATOS!J221</f>
        <v>0</v>
      </c>
      <c r="K220" s="43">
        <f>REGISTRO_B.DATOS!K221</f>
        <v>0</v>
      </c>
    </row>
    <row r="221" spans="1:11" x14ac:dyDescent="0.25">
      <c r="A221" s="40">
        <f>REGISTRO_B.DATOS!A222</f>
        <v>0</v>
      </c>
      <c r="B221" s="41">
        <f>REGISTRO_B.DATOS!B222</f>
        <v>0</v>
      </c>
      <c r="C221" s="41">
        <f>REGISTRO_B.DATOS!C222</f>
        <v>0</v>
      </c>
      <c r="D221" s="41">
        <f>REGISTRO_B.DATOS!D222</f>
        <v>0</v>
      </c>
      <c r="E221" s="42">
        <f>REGISTRO_B.DATOS!E222</f>
        <v>0</v>
      </c>
      <c r="F221" s="41">
        <f>REGISTRO_B.DATOS!F222</f>
        <v>0</v>
      </c>
      <c r="G221" s="41">
        <f>REGISTRO_B.DATOS!G222</f>
        <v>0</v>
      </c>
      <c r="H221" s="41">
        <f>REGISTRO_B.DATOS!H222</f>
        <v>0</v>
      </c>
      <c r="I221" s="41">
        <f>REGISTRO_B.DATOS!I222</f>
        <v>0</v>
      </c>
      <c r="J221" s="41">
        <f>REGISTRO_B.DATOS!J222</f>
        <v>0</v>
      </c>
      <c r="K221" s="43">
        <f>REGISTRO_B.DATOS!K222</f>
        <v>0</v>
      </c>
    </row>
    <row r="222" spans="1:11" x14ac:dyDescent="0.25">
      <c r="A222" s="40">
        <f>REGISTRO_B.DATOS!A223</f>
        <v>0</v>
      </c>
      <c r="B222" s="41">
        <f>REGISTRO_B.DATOS!B223</f>
        <v>0</v>
      </c>
      <c r="C222" s="41">
        <f>REGISTRO_B.DATOS!C223</f>
        <v>0</v>
      </c>
      <c r="D222" s="41">
        <f>REGISTRO_B.DATOS!D223</f>
        <v>0</v>
      </c>
      <c r="E222" s="42">
        <f>REGISTRO_B.DATOS!E223</f>
        <v>0</v>
      </c>
      <c r="F222" s="41">
        <f>REGISTRO_B.DATOS!F223</f>
        <v>0</v>
      </c>
      <c r="G222" s="41">
        <f>REGISTRO_B.DATOS!G223</f>
        <v>0</v>
      </c>
      <c r="H222" s="41">
        <f>REGISTRO_B.DATOS!H223</f>
        <v>0</v>
      </c>
      <c r="I222" s="41">
        <f>REGISTRO_B.DATOS!I223</f>
        <v>0</v>
      </c>
      <c r="J222" s="41">
        <f>REGISTRO_B.DATOS!J223</f>
        <v>0</v>
      </c>
      <c r="K222" s="43">
        <f>REGISTRO_B.DATOS!K223</f>
        <v>0</v>
      </c>
    </row>
    <row r="223" spans="1:11" x14ac:dyDescent="0.25">
      <c r="A223" s="40">
        <f>REGISTRO_B.DATOS!A224</f>
        <v>0</v>
      </c>
      <c r="B223" s="41">
        <f>REGISTRO_B.DATOS!B224</f>
        <v>0</v>
      </c>
      <c r="C223" s="41">
        <f>REGISTRO_B.DATOS!C224</f>
        <v>0</v>
      </c>
      <c r="D223" s="41">
        <f>REGISTRO_B.DATOS!D224</f>
        <v>0</v>
      </c>
      <c r="E223" s="42">
        <f>REGISTRO_B.DATOS!E224</f>
        <v>0</v>
      </c>
      <c r="F223" s="41">
        <f>REGISTRO_B.DATOS!F224</f>
        <v>0</v>
      </c>
      <c r="G223" s="41">
        <f>REGISTRO_B.DATOS!G224</f>
        <v>0</v>
      </c>
      <c r="H223" s="41">
        <f>REGISTRO_B.DATOS!H224</f>
        <v>0</v>
      </c>
      <c r="I223" s="41">
        <f>REGISTRO_B.DATOS!I224</f>
        <v>0</v>
      </c>
      <c r="J223" s="41">
        <f>REGISTRO_B.DATOS!J224</f>
        <v>0</v>
      </c>
      <c r="K223" s="43">
        <f>REGISTRO_B.DATOS!K224</f>
        <v>0</v>
      </c>
    </row>
    <row r="224" spans="1:11" x14ac:dyDescent="0.25">
      <c r="A224" s="40">
        <f>REGISTRO_B.DATOS!A225</f>
        <v>0</v>
      </c>
      <c r="B224" s="41">
        <f>REGISTRO_B.DATOS!B225</f>
        <v>0</v>
      </c>
      <c r="C224" s="41">
        <f>REGISTRO_B.DATOS!C225</f>
        <v>0</v>
      </c>
      <c r="D224" s="41">
        <f>REGISTRO_B.DATOS!D225</f>
        <v>0</v>
      </c>
      <c r="E224" s="42">
        <f>REGISTRO_B.DATOS!E225</f>
        <v>0</v>
      </c>
      <c r="F224" s="41">
        <f>REGISTRO_B.DATOS!F225</f>
        <v>0</v>
      </c>
      <c r="G224" s="41">
        <f>REGISTRO_B.DATOS!G225</f>
        <v>0</v>
      </c>
      <c r="H224" s="41">
        <f>REGISTRO_B.DATOS!H225</f>
        <v>0</v>
      </c>
      <c r="I224" s="41">
        <f>REGISTRO_B.DATOS!I225</f>
        <v>0</v>
      </c>
      <c r="J224" s="41">
        <f>REGISTRO_B.DATOS!J225</f>
        <v>0</v>
      </c>
      <c r="K224" s="43">
        <f>REGISTRO_B.DATOS!K225</f>
        <v>0</v>
      </c>
    </row>
    <row r="225" spans="1:11" x14ac:dyDescent="0.25">
      <c r="A225" s="40">
        <f>REGISTRO_B.DATOS!A226</f>
        <v>0</v>
      </c>
      <c r="B225" s="41">
        <f>REGISTRO_B.DATOS!B226</f>
        <v>0</v>
      </c>
      <c r="C225" s="41">
        <f>REGISTRO_B.DATOS!C226</f>
        <v>0</v>
      </c>
      <c r="D225" s="41">
        <f>REGISTRO_B.DATOS!D226</f>
        <v>0</v>
      </c>
      <c r="E225" s="42">
        <f>REGISTRO_B.DATOS!E226</f>
        <v>0</v>
      </c>
      <c r="F225" s="41">
        <f>REGISTRO_B.DATOS!F226</f>
        <v>0</v>
      </c>
      <c r="G225" s="41">
        <f>REGISTRO_B.DATOS!G226</f>
        <v>0</v>
      </c>
      <c r="H225" s="41">
        <f>REGISTRO_B.DATOS!H226</f>
        <v>0</v>
      </c>
      <c r="I225" s="41">
        <f>REGISTRO_B.DATOS!I226</f>
        <v>0</v>
      </c>
      <c r="J225" s="41">
        <f>REGISTRO_B.DATOS!J226</f>
        <v>0</v>
      </c>
      <c r="K225" s="43">
        <f>REGISTRO_B.DATOS!K226</f>
        <v>0</v>
      </c>
    </row>
    <row r="226" spans="1:11" x14ac:dyDescent="0.25">
      <c r="A226" s="40">
        <f>REGISTRO_B.DATOS!A227</f>
        <v>0</v>
      </c>
      <c r="B226" s="41">
        <f>REGISTRO_B.DATOS!B227</f>
        <v>0</v>
      </c>
      <c r="C226" s="41">
        <f>REGISTRO_B.DATOS!C227</f>
        <v>0</v>
      </c>
      <c r="D226" s="41">
        <f>REGISTRO_B.DATOS!D227</f>
        <v>0</v>
      </c>
      <c r="E226" s="42">
        <f>REGISTRO_B.DATOS!E227</f>
        <v>0</v>
      </c>
      <c r="F226" s="41">
        <f>REGISTRO_B.DATOS!F227</f>
        <v>0</v>
      </c>
      <c r="G226" s="41">
        <f>REGISTRO_B.DATOS!G227</f>
        <v>0</v>
      </c>
      <c r="H226" s="41">
        <f>REGISTRO_B.DATOS!H227</f>
        <v>0</v>
      </c>
      <c r="I226" s="41">
        <f>REGISTRO_B.DATOS!I227</f>
        <v>0</v>
      </c>
      <c r="J226" s="41">
        <f>REGISTRO_B.DATOS!J227</f>
        <v>0</v>
      </c>
      <c r="K226" s="43">
        <f>REGISTRO_B.DATOS!K227</f>
        <v>0</v>
      </c>
    </row>
    <row r="227" spans="1:11" x14ac:dyDescent="0.25">
      <c r="A227" s="40">
        <f>REGISTRO_B.DATOS!A228</f>
        <v>0</v>
      </c>
      <c r="B227" s="41">
        <f>REGISTRO_B.DATOS!B228</f>
        <v>0</v>
      </c>
      <c r="C227" s="41">
        <f>REGISTRO_B.DATOS!C228</f>
        <v>0</v>
      </c>
      <c r="D227" s="41">
        <f>REGISTRO_B.DATOS!D228</f>
        <v>0</v>
      </c>
      <c r="E227" s="42">
        <f>REGISTRO_B.DATOS!E228</f>
        <v>0</v>
      </c>
      <c r="F227" s="41">
        <f>REGISTRO_B.DATOS!F228</f>
        <v>0</v>
      </c>
      <c r="G227" s="41">
        <f>REGISTRO_B.DATOS!G228</f>
        <v>0</v>
      </c>
      <c r="H227" s="41">
        <f>REGISTRO_B.DATOS!H228</f>
        <v>0</v>
      </c>
      <c r="I227" s="41">
        <f>REGISTRO_B.DATOS!I228</f>
        <v>0</v>
      </c>
      <c r="J227" s="41">
        <f>REGISTRO_B.DATOS!J228</f>
        <v>0</v>
      </c>
      <c r="K227" s="43">
        <f>REGISTRO_B.DATOS!K228</f>
        <v>0</v>
      </c>
    </row>
    <row r="228" spans="1:11" x14ac:dyDescent="0.25">
      <c r="A228" s="40">
        <f>REGISTRO_B.DATOS!A229</f>
        <v>0</v>
      </c>
      <c r="B228" s="41">
        <f>REGISTRO_B.DATOS!B229</f>
        <v>0</v>
      </c>
      <c r="C228" s="41">
        <f>REGISTRO_B.DATOS!C229</f>
        <v>0</v>
      </c>
      <c r="D228" s="41">
        <f>REGISTRO_B.DATOS!D229</f>
        <v>0</v>
      </c>
      <c r="E228" s="42">
        <f>REGISTRO_B.DATOS!E229</f>
        <v>0</v>
      </c>
      <c r="F228" s="41">
        <f>REGISTRO_B.DATOS!F229</f>
        <v>0</v>
      </c>
      <c r="G228" s="41">
        <f>REGISTRO_B.DATOS!G229</f>
        <v>0</v>
      </c>
      <c r="H228" s="41">
        <f>REGISTRO_B.DATOS!H229</f>
        <v>0</v>
      </c>
      <c r="I228" s="41">
        <f>REGISTRO_B.DATOS!I229</f>
        <v>0</v>
      </c>
      <c r="J228" s="41">
        <f>REGISTRO_B.DATOS!J229</f>
        <v>0</v>
      </c>
      <c r="K228" s="43">
        <f>REGISTRO_B.DATOS!K229</f>
        <v>0</v>
      </c>
    </row>
    <row r="229" spans="1:11" x14ac:dyDescent="0.25">
      <c r="A229" s="40">
        <f>REGISTRO_B.DATOS!A230</f>
        <v>0</v>
      </c>
      <c r="B229" s="41">
        <f>REGISTRO_B.DATOS!B230</f>
        <v>0</v>
      </c>
      <c r="C229" s="41">
        <f>REGISTRO_B.DATOS!C230</f>
        <v>0</v>
      </c>
      <c r="D229" s="41">
        <f>REGISTRO_B.DATOS!D230</f>
        <v>0</v>
      </c>
      <c r="E229" s="42">
        <f>REGISTRO_B.DATOS!E230</f>
        <v>0</v>
      </c>
      <c r="F229" s="41">
        <f>REGISTRO_B.DATOS!F230</f>
        <v>0</v>
      </c>
      <c r="G229" s="41">
        <f>REGISTRO_B.DATOS!G230</f>
        <v>0</v>
      </c>
      <c r="H229" s="41">
        <f>REGISTRO_B.DATOS!H230</f>
        <v>0</v>
      </c>
      <c r="I229" s="41">
        <f>REGISTRO_B.DATOS!I230</f>
        <v>0</v>
      </c>
      <c r="J229" s="41">
        <f>REGISTRO_B.DATOS!J230</f>
        <v>0</v>
      </c>
      <c r="K229" s="43">
        <f>REGISTRO_B.DATOS!K230</f>
        <v>0</v>
      </c>
    </row>
    <row r="230" spans="1:11" x14ac:dyDescent="0.25">
      <c r="A230" s="40">
        <f>REGISTRO_B.DATOS!A231</f>
        <v>0</v>
      </c>
      <c r="B230" s="41">
        <f>REGISTRO_B.DATOS!B231</f>
        <v>0</v>
      </c>
      <c r="C230" s="41">
        <f>REGISTRO_B.DATOS!C231</f>
        <v>0</v>
      </c>
      <c r="D230" s="41">
        <f>REGISTRO_B.DATOS!D231</f>
        <v>0</v>
      </c>
      <c r="E230" s="42">
        <f>REGISTRO_B.DATOS!E231</f>
        <v>0</v>
      </c>
      <c r="F230" s="41">
        <f>REGISTRO_B.DATOS!F231</f>
        <v>0</v>
      </c>
      <c r="G230" s="41">
        <f>REGISTRO_B.DATOS!G231</f>
        <v>0</v>
      </c>
      <c r="H230" s="41">
        <f>REGISTRO_B.DATOS!H231</f>
        <v>0</v>
      </c>
      <c r="I230" s="41">
        <f>REGISTRO_B.DATOS!I231</f>
        <v>0</v>
      </c>
      <c r="J230" s="41">
        <f>REGISTRO_B.DATOS!J231</f>
        <v>0</v>
      </c>
      <c r="K230" s="43">
        <f>REGISTRO_B.DATOS!K231</f>
        <v>0</v>
      </c>
    </row>
    <row r="231" spans="1:11" x14ac:dyDescent="0.25">
      <c r="A231" s="40">
        <f>REGISTRO_B.DATOS!A232</f>
        <v>0</v>
      </c>
      <c r="B231" s="41">
        <f>REGISTRO_B.DATOS!B232</f>
        <v>0</v>
      </c>
      <c r="C231" s="41">
        <f>REGISTRO_B.DATOS!C232</f>
        <v>0</v>
      </c>
      <c r="D231" s="41">
        <f>REGISTRO_B.DATOS!D232</f>
        <v>0</v>
      </c>
      <c r="E231" s="42">
        <f>REGISTRO_B.DATOS!E232</f>
        <v>0</v>
      </c>
      <c r="F231" s="41">
        <f>REGISTRO_B.DATOS!F232</f>
        <v>0</v>
      </c>
      <c r="G231" s="41">
        <f>REGISTRO_B.DATOS!G232</f>
        <v>0</v>
      </c>
      <c r="H231" s="41">
        <f>REGISTRO_B.DATOS!H232</f>
        <v>0</v>
      </c>
      <c r="I231" s="41">
        <f>REGISTRO_B.DATOS!I232</f>
        <v>0</v>
      </c>
      <c r="J231" s="41">
        <f>REGISTRO_B.DATOS!J232</f>
        <v>0</v>
      </c>
      <c r="K231" s="43">
        <f>REGISTRO_B.DATOS!K232</f>
        <v>0</v>
      </c>
    </row>
    <row r="232" spans="1:11" x14ac:dyDescent="0.25">
      <c r="A232" s="40">
        <f>REGISTRO_B.DATOS!A233</f>
        <v>0</v>
      </c>
      <c r="B232" s="41">
        <f>REGISTRO_B.DATOS!B233</f>
        <v>0</v>
      </c>
      <c r="C232" s="41">
        <f>REGISTRO_B.DATOS!C233</f>
        <v>0</v>
      </c>
      <c r="D232" s="41">
        <f>REGISTRO_B.DATOS!D233</f>
        <v>0</v>
      </c>
      <c r="E232" s="42">
        <f>REGISTRO_B.DATOS!E233</f>
        <v>0</v>
      </c>
      <c r="F232" s="41">
        <f>REGISTRO_B.DATOS!F233</f>
        <v>0</v>
      </c>
      <c r="G232" s="41">
        <f>REGISTRO_B.DATOS!G233</f>
        <v>0</v>
      </c>
      <c r="H232" s="41">
        <f>REGISTRO_B.DATOS!H233</f>
        <v>0</v>
      </c>
      <c r="I232" s="41">
        <f>REGISTRO_B.DATOS!I233</f>
        <v>0</v>
      </c>
      <c r="J232" s="41">
        <f>REGISTRO_B.DATOS!J233</f>
        <v>0</v>
      </c>
      <c r="K232" s="43">
        <f>REGISTRO_B.DATOS!K233</f>
        <v>0</v>
      </c>
    </row>
    <row r="233" spans="1:11" x14ac:dyDescent="0.25">
      <c r="A233" s="40">
        <f>REGISTRO_B.DATOS!A234</f>
        <v>0</v>
      </c>
      <c r="B233" s="41">
        <f>REGISTRO_B.DATOS!B234</f>
        <v>0</v>
      </c>
      <c r="C233" s="41">
        <f>REGISTRO_B.DATOS!C234</f>
        <v>0</v>
      </c>
      <c r="D233" s="41">
        <f>REGISTRO_B.DATOS!D234</f>
        <v>0</v>
      </c>
      <c r="E233" s="42">
        <f>REGISTRO_B.DATOS!E234</f>
        <v>0</v>
      </c>
      <c r="F233" s="41">
        <f>REGISTRO_B.DATOS!F234</f>
        <v>0</v>
      </c>
      <c r="G233" s="41">
        <f>REGISTRO_B.DATOS!G234</f>
        <v>0</v>
      </c>
      <c r="H233" s="41">
        <f>REGISTRO_B.DATOS!H234</f>
        <v>0</v>
      </c>
      <c r="I233" s="41">
        <f>REGISTRO_B.DATOS!I234</f>
        <v>0</v>
      </c>
      <c r="J233" s="41">
        <f>REGISTRO_B.DATOS!J234</f>
        <v>0</v>
      </c>
      <c r="K233" s="43">
        <f>REGISTRO_B.DATOS!K234</f>
        <v>0</v>
      </c>
    </row>
    <row r="234" spans="1:11" x14ac:dyDescent="0.25">
      <c r="A234" s="40">
        <f>REGISTRO_B.DATOS!A235</f>
        <v>0</v>
      </c>
      <c r="B234" s="41">
        <f>REGISTRO_B.DATOS!B235</f>
        <v>0</v>
      </c>
      <c r="C234" s="41">
        <f>REGISTRO_B.DATOS!C235</f>
        <v>0</v>
      </c>
      <c r="D234" s="41">
        <f>REGISTRO_B.DATOS!D235</f>
        <v>0</v>
      </c>
      <c r="E234" s="42">
        <f>REGISTRO_B.DATOS!E235</f>
        <v>0</v>
      </c>
      <c r="F234" s="41">
        <f>REGISTRO_B.DATOS!F235</f>
        <v>0</v>
      </c>
      <c r="G234" s="41">
        <f>REGISTRO_B.DATOS!G235</f>
        <v>0</v>
      </c>
      <c r="H234" s="41">
        <f>REGISTRO_B.DATOS!H235</f>
        <v>0</v>
      </c>
      <c r="I234" s="41">
        <f>REGISTRO_B.DATOS!I235</f>
        <v>0</v>
      </c>
      <c r="J234" s="41">
        <f>REGISTRO_B.DATOS!J235</f>
        <v>0</v>
      </c>
      <c r="K234" s="43">
        <f>REGISTRO_B.DATOS!K235</f>
        <v>0</v>
      </c>
    </row>
    <row r="235" spans="1:11" x14ac:dyDescent="0.25">
      <c r="A235" s="40">
        <f>REGISTRO_B.DATOS!A236</f>
        <v>0</v>
      </c>
      <c r="B235" s="41">
        <f>REGISTRO_B.DATOS!B236</f>
        <v>0</v>
      </c>
      <c r="C235" s="41">
        <f>REGISTRO_B.DATOS!C236</f>
        <v>0</v>
      </c>
      <c r="D235" s="41">
        <f>REGISTRO_B.DATOS!D236</f>
        <v>0</v>
      </c>
      <c r="E235" s="42">
        <f>REGISTRO_B.DATOS!E236</f>
        <v>0</v>
      </c>
      <c r="F235" s="41">
        <f>REGISTRO_B.DATOS!F236</f>
        <v>0</v>
      </c>
      <c r="G235" s="41">
        <f>REGISTRO_B.DATOS!G236</f>
        <v>0</v>
      </c>
      <c r="H235" s="41">
        <f>REGISTRO_B.DATOS!H236</f>
        <v>0</v>
      </c>
      <c r="I235" s="41">
        <f>REGISTRO_B.DATOS!I236</f>
        <v>0</v>
      </c>
      <c r="J235" s="41">
        <f>REGISTRO_B.DATOS!J236</f>
        <v>0</v>
      </c>
      <c r="K235" s="43">
        <f>REGISTRO_B.DATOS!K236</f>
        <v>0</v>
      </c>
    </row>
    <row r="236" spans="1:11" x14ac:dyDescent="0.25">
      <c r="A236" s="40">
        <f>REGISTRO_B.DATOS!A237</f>
        <v>0</v>
      </c>
      <c r="B236" s="41">
        <f>REGISTRO_B.DATOS!B237</f>
        <v>0</v>
      </c>
      <c r="C236" s="41">
        <f>REGISTRO_B.DATOS!C237</f>
        <v>0</v>
      </c>
      <c r="D236" s="41">
        <f>REGISTRO_B.DATOS!D237</f>
        <v>0</v>
      </c>
      <c r="E236" s="42">
        <f>REGISTRO_B.DATOS!E237</f>
        <v>0</v>
      </c>
      <c r="F236" s="41">
        <f>REGISTRO_B.DATOS!F237</f>
        <v>0</v>
      </c>
      <c r="G236" s="41">
        <f>REGISTRO_B.DATOS!G237</f>
        <v>0</v>
      </c>
      <c r="H236" s="41">
        <f>REGISTRO_B.DATOS!H237</f>
        <v>0</v>
      </c>
      <c r="I236" s="41">
        <f>REGISTRO_B.DATOS!I237</f>
        <v>0</v>
      </c>
      <c r="J236" s="41">
        <f>REGISTRO_B.DATOS!J237</f>
        <v>0</v>
      </c>
      <c r="K236" s="43">
        <f>REGISTRO_B.DATOS!K237</f>
        <v>0</v>
      </c>
    </row>
    <row r="237" spans="1:11" x14ac:dyDescent="0.25">
      <c r="A237" s="40">
        <f>REGISTRO_B.DATOS!A238</f>
        <v>0</v>
      </c>
      <c r="B237" s="41">
        <f>REGISTRO_B.DATOS!B238</f>
        <v>0</v>
      </c>
      <c r="C237" s="41">
        <f>REGISTRO_B.DATOS!C238</f>
        <v>0</v>
      </c>
      <c r="D237" s="41">
        <f>REGISTRO_B.DATOS!D238</f>
        <v>0</v>
      </c>
      <c r="E237" s="42">
        <f>REGISTRO_B.DATOS!E238</f>
        <v>0</v>
      </c>
      <c r="F237" s="41">
        <f>REGISTRO_B.DATOS!F238</f>
        <v>0</v>
      </c>
      <c r="G237" s="41">
        <f>REGISTRO_B.DATOS!G238</f>
        <v>0</v>
      </c>
      <c r="H237" s="41">
        <f>REGISTRO_B.DATOS!H238</f>
        <v>0</v>
      </c>
      <c r="I237" s="41">
        <f>REGISTRO_B.DATOS!I238</f>
        <v>0</v>
      </c>
      <c r="J237" s="41">
        <f>REGISTRO_B.DATOS!J238</f>
        <v>0</v>
      </c>
      <c r="K237" s="43">
        <f>REGISTRO_B.DATOS!K238</f>
        <v>0</v>
      </c>
    </row>
    <row r="238" spans="1:11" x14ac:dyDescent="0.25">
      <c r="A238" s="40">
        <f>REGISTRO_B.DATOS!A239</f>
        <v>0</v>
      </c>
      <c r="B238" s="41">
        <f>REGISTRO_B.DATOS!B239</f>
        <v>0</v>
      </c>
      <c r="C238" s="41">
        <f>REGISTRO_B.DATOS!C239</f>
        <v>0</v>
      </c>
      <c r="D238" s="41">
        <f>REGISTRO_B.DATOS!D239</f>
        <v>0</v>
      </c>
      <c r="E238" s="42">
        <f>REGISTRO_B.DATOS!E239</f>
        <v>0</v>
      </c>
      <c r="F238" s="41">
        <f>REGISTRO_B.DATOS!F239</f>
        <v>0</v>
      </c>
      <c r="G238" s="41">
        <f>REGISTRO_B.DATOS!G239</f>
        <v>0</v>
      </c>
      <c r="H238" s="41">
        <f>REGISTRO_B.DATOS!H239</f>
        <v>0</v>
      </c>
      <c r="I238" s="41">
        <f>REGISTRO_B.DATOS!I239</f>
        <v>0</v>
      </c>
      <c r="J238" s="41">
        <f>REGISTRO_B.DATOS!J239</f>
        <v>0</v>
      </c>
      <c r="K238" s="43">
        <f>REGISTRO_B.DATOS!K239</f>
        <v>0</v>
      </c>
    </row>
    <row r="239" spans="1:11" x14ac:dyDescent="0.25">
      <c r="A239" s="40">
        <f>REGISTRO_B.DATOS!A240</f>
        <v>0</v>
      </c>
      <c r="B239" s="41">
        <f>REGISTRO_B.DATOS!B240</f>
        <v>0</v>
      </c>
      <c r="C239" s="41">
        <f>REGISTRO_B.DATOS!C240</f>
        <v>0</v>
      </c>
      <c r="D239" s="41">
        <f>REGISTRO_B.DATOS!D240</f>
        <v>0</v>
      </c>
      <c r="E239" s="42">
        <f>REGISTRO_B.DATOS!E240</f>
        <v>0</v>
      </c>
      <c r="F239" s="41">
        <f>REGISTRO_B.DATOS!F240</f>
        <v>0</v>
      </c>
      <c r="G239" s="41">
        <f>REGISTRO_B.DATOS!G240</f>
        <v>0</v>
      </c>
      <c r="H239" s="41">
        <f>REGISTRO_B.DATOS!H240</f>
        <v>0</v>
      </c>
      <c r="I239" s="41">
        <f>REGISTRO_B.DATOS!I240</f>
        <v>0</v>
      </c>
      <c r="J239" s="41">
        <f>REGISTRO_B.DATOS!J240</f>
        <v>0</v>
      </c>
      <c r="K239" s="43">
        <f>REGISTRO_B.DATOS!K240</f>
        <v>0</v>
      </c>
    </row>
    <row r="240" spans="1:11" x14ac:dyDescent="0.25">
      <c r="A240" s="40">
        <f>REGISTRO_B.DATOS!A241</f>
        <v>0</v>
      </c>
      <c r="B240" s="41">
        <f>REGISTRO_B.DATOS!B241</f>
        <v>0</v>
      </c>
      <c r="C240" s="41">
        <f>REGISTRO_B.DATOS!C241</f>
        <v>0</v>
      </c>
      <c r="D240" s="41">
        <f>REGISTRO_B.DATOS!D241</f>
        <v>0</v>
      </c>
      <c r="E240" s="42">
        <f>REGISTRO_B.DATOS!E241</f>
        <v>0</v>
      </c>
      <c r="F240" s="41">
        <f>REGISTRO_B.DATOS!F241</f>
        <v>0</v>
      </c>
      <c r="G240" s="41">
        <f>REGISTRO_B.DATOS!G241</f>
        <v>0</v>
      </c>
      <c r="H240" s="41">
        <f>REGISTRO_B.DATOS!H241</f>
        <v>0</v>
      </c>
      <c r="I240" s="41">
        <f>REGISTRO_B.DATOS!I241</f>
        <v>0</v>
      </c>
      <c r="J240" s="41">
        <f>REGISTRO_B.DATOS!J241</f>
        <v>0</v>
      </c>
      <c r="K240" s="43">
        <f>REGISTRO_B.DATOS!K241</f>
        <v>0</v>
      </c>
    </row>
    <row r="241" spans="1:11" x14ac:dyDescent="0.25">
      <c r="A241" s="40">
        <f>REGISTRO_B.DATOS!A242</f>
        <v>0</v>
      </c>
      <c r="B241" s="41">
        <f>REGISTRO_B.DATOS!B242</f>
        <v>0</v>
      </c>
      <c r="C241" s="41">
        <f>REGISTRO_B.DATOS!C242</f>
        <v>0</v>
      </c>
      <c r="D241" s="41">
        <f>REGISTRO_B.DATOS!D242</f>
        <v>0</v>
      </c>
      <c r="E241" s="42">
        <f>REGISTRO_B.DATOS!E242</f>
        <v>0</v>
      </c>
      <c r="F241" s="41">
        <f>REGISTRO_B.DATOS!F242</f>
        <v>0</v>
      </c>
      <c r="G241" s="41">
        <f>REGISTRO_B.DATOS!G242</f>
        <v>0</v>
      </c>
      <c r="H241" s="41">
        <f>REGISTRO_B.DATOS!H242</f>
        <v>0</v>
      </c>
      <c r="I241" s="41">
        <f>REGISTRO_B.DATOS!I242</f>
        <v>0</v>
      </c>
      <c r="J241" s="41">
        <f>REGISTRO_B.DATOS!J242</f>
        <v>0</v>
      </c>
      <c r="K241" s="43">
        <f>REGISTRO_B.DATOS!K242</f>
        <v>0</v>
      </c>
    </row>
    <row r="242" spans="1:11" x14ac:dyDescent="0.25">
      <c r="A242" s="40">
        <f>REGISTRO_B.DATOS!A243</f>
        <v>0</v>
      </c>
      <c r="B242" s="41">
        <f>REGISTRO_B.DATOS!B243</f>
        <v>0</v>
      </c>
      <c r="C242" s="41">
        <f>REGISTRO_B.DATOS!C243</f>
        <v>0</v>
      </c>
      <c r="D242" s="41">
        <f>REGISTRO_B.DATOS!D243</f>
        <v>0</v>
      </c>
      <c r="E242" s="42">
        <f>REGISTRO_B.DATOS!E243</f>
        <v>0</v>
      </c>
      <c r="F242" s="41">
        <f>REGISTRO_B.DATOS!F243</f>
        <v>0</v>
      </c>
      <c r="G242" s="41">
        <f>REGISTRO_B.DATOS!G243</f>
        <v>0</v>
      </c>
      <c r="H242" s="41">
        <f>REGISTRO_B.DATOS!H243</f>
        <v>0</v>
      </c>
      <c r="I242" s="41">
        <f>REGISTRO_B.DATOS!I243</f>
        <v>0</v>
      </c>
      <c r="J242" s="41">
        <f>REGISTRO_B.DATOS!J243</f>
        <v>0</v>
      </c>
      <c r="K242" s="43">
        <f>REGISTRO_B.DATOS!K243</f>
        <v>0</v>
      </c>
    </row>
    <row r="243" spans="1:11" x14ac:dyDescent="0.25">
      <c r="A243" s="40">
        <f>REGISTRO_B.DATOS!A244</f>
        <v>0</v>
      </c>
      <c r="B243" s="41">
        <f>REGISTRO_B.DATOS!B244</f>
        <v>0</v>
      </c>
      <c r="C243" s="41">
        <f>REGISTRO_B.DATOS!C244</f>
        <v>0</v>
      </c>
      <c r="D243" s="41">
        <f>REGISTRO_B.DATOS!D244</f>
        <v>0</v>
      </c>
      <c r="E243" s="42">
        <f>REGISTRO_B.DATOS!E244</f>
        <v>0</v>
      </c>
      <c r="F243" s="41">
        <f>REGISTRO_B.DATOS!F244</f>
        <v>0</v>
      </c>
      <c r="G243" s="41">
        <f>REGISTRO_B.DATOS!G244</f>
        <v>0</v>
      </c>
      <c r="H243" s="41">
        <f>REGISTRO_B.DATOS!H244</f>
        <v>0</v>
      </c>
      <c r="I243" s="41">
        <f>REGISTRO_B.DATOS!I244</f>
        <v>0</v>
      </c>
      <c r="J243" s="41">
        <f>REGISTRO_B.DATOS!J244</f>
        <v>0</v>
      </c>
      <c r="K243" s="43">
        <f>REGISTRO_B.DATOS!K244</f>
        <v>0</v>
      </c>
    </row>
    <row r="244" spans="1:11" x14ac:dyDescent="0.25">
      <c r="A244" s="40">
        <f>REGISTRO_B.DATOS!A245</f>
        <v>0</v>
      </c>
      <c r="B244" s="41">
        <f>REGISTRO_B.DATOS!B245</f>
        <v>0</v>
      </c>
      <c r="C244" s="41">
        <f>REGISTRO_B.DATOS!C245</f>
        <v>0</v>
      </c>
      <c r="D244" s="41">
        <f>REGISTRO_B.DATOS!D245</f>
        <v>0</v>
      </c>
      <c r="E244" s="42">
        <f>REGISTRO_B.DATOS!E245</f>
        <v>0</v>
      </c>
      <c r="F244" s="41">
        <f>REGISTRO_B.DATOS!F245</f>
        <v>0</v>
      </c>
      <c r="G244" s="41">
        <f>REGISTRO_B.DATOS!G245</f>
        <v>0</v>
      </c>
      <c r="H244" s="41">
        <f>REGISTRO_B.DATOS!H245</f>
        <v>0</v>
      </c>
      <c r="I244" s="41">
        <f>REGISTRO_B.DATOS!I245</f>
        <v>0</v>
      </c>
      <c r="J244" s="41">
        <f>REGISTRO_B.DATOS!J245</f>
        <v>0</v>
      </c>
      <c r="K244" s="43">
        <f>REGISTRO_B.DATOS!K245</f>
        <v>0</v>
      </c>
    </row>
    <row r="245" spans="1:11" x14ac:dyDescent="0.25">
      <c r="A245" s="40">
        <f>REGISTRO_B.DATOS!A246</f>
        <v>0</v>
      </c>
      <c r="B245" s="41">
        <f>REGISTRO_B.DATOS!B246</f>
        <v>0</v>
      </c>
      <c r="C245" s="41">
        <f>REGISTRO_B.DATOS!C246</f>
        <v>0</v>
      </c>
      <c r="D245" s="41">
        <f>REGISTRO_B.DATOS!D246</f>
        <v>0</v>
      </c>
      <c r="E245" s="42">
        <f>REGISTRO_B.DATOS!E246</f>
        <v>0</v>
      </c>
      <c r="F245" s="41">
        <f>REGISTRO_B.DATOS!F246</f>
        <v>0</v>
      </c>
      <c r="G245" s="41">
        <f>REGISTRO_B.DATOS!G246</f>
        <v>0</v>
      </c>
      <c r="H245" s="41">
        <f>REGISTRO_B.DATOS!H246</f>
        <v>0</v>
      </c>
      <c r="I245" s="41">
        <f>REGISTRO_B.DATOS!I246</f>
        <v>0</v>
      </c>
      <c r="J245" s="41">
        <f>REGISTRO_B.DATOS!J246</f>
        <v>0</v>
      </c>
      <c r="K245" s="43">
        <f>REGISTRO_B.DATOS!K246</f>
        <v>0</v>
      </c>
    </row>
    <row r="246" spans="1:11" x14ac:dyDescent="0.25">
      <c r="A246" s="40">
        <f>REGISTRO_B.DATOS!A247</f>
        <v>0</v>
      </c>
      <c r="B246" s="41">
        <f>REGISTRO_B.DATOS!B247</f>
        <v>0</v>
      </c>
      <c r="C246" s="41">
        <f>REGISTRO_B.DATOS!C247</f>
        <v>0</v>
      </c>
      <c r="D246" s="41">
        <f>REGISTRO_B.DATOS!D247</f>
        <v>0</v>
      </c>
      <c r="E246" s="42">
        <f>REGISTRO_B.DATOS!E247</f>
        <v>0</v>
      </c>
      <c r="F246" s="41">
        <f>REGISTRO_B.DATOS!F247</f>
        <v>0</v>
      </c>
      <c r="G246" s="41">
        <f>REGISTRO_B.DATOS!G247</f>
        <v>0</v>
      </c>
      <c r="H246" s="41">
        <f>REGISTRO_B.DATOS!H247</f>
        <v>0</v>
      </c>
      <c r="I246" s="41">
        <f>REGISTRO_B.DATOS!I247</f>
        <v>0</v>
      </c>
      <c r="J246" s="41">
        <f>REGISTRO_B.DATOS!J247</f>
        <v>0</v>
      </c>
      <c r="K246" s="43">
        <f>REGISTRO_B.DATOS!K247</f>
        <v>0</v>
      </c>
    </row>
    <row r="247" spans="1:11" x14ac:dyDescent="0.25">
      <c r="A247" s="40">
        <f>REGISTRO_B.DATOS!A248</f>
        <v>0</v>
      </c>
      <c r="B247" s="41">
        <f>REGISTRO_B.DATOS!B248</f>
        <v>0</v>
      </c>
      <c r="C247" s="41">
        <f>REGISTRO_B.DATOS!C248</f>
        <v>0</v>
      </c>
      <c r="D247" s="41">
        <f>REGISTRO_B.DATOS!D248</f>
        <v>0</v>
      </c>
      <c r="E247" s="42">
        <f>REGISTRO_B.DATOS!E248</f>
        <v>0</v>
      </c>
      <c r="F247" s="41">
        <f>REGISTRO_B.DATOS!F248</f>
        <v>0</v>
      </c>
      <c r="G247" s="41">
        <f>REGISTRO_B.DATOS!G248</f>
        <v>0</v>
      </c>
      <c r="H247" s="41">
        <f>REGISTRO_B.DATOS!H248</f>
        <v>0</v>
      </c>
      <c r="I247" s="41">
        <f>REGISTRO_B.DATOS!I248</f>
        <v>0</v>
      </c>
      <c r="J247" s="41">
        <f>REGISTRO_B.DATOS!J248</f>
        <v>0</v>
      </c>
      <c r="K247" s="43">
        <f>REGISTRO_B.DATOS!K248</f>
        <v>0</v>
      </c>
    </row>
    <row r="248" spans="1:11" x14ac:dyDescent="0.25">
      <c r="A248" s="40">
        <f>REGISTRO_B.DATOS!A249</f>
        <v>0</v>
      </c>
      <c r="B248" s="41">
        <f>REGISTRO_B.DATOS!B249</f>
        <v>0</v>
      </c>
      <c r="C248" s="41">
        <f>REGISTRO_B.DATOS!C249</f>
        <v>0</v>
      </c>
      <c r="D248" s="41">
        <f>REGISTRO_B.DATOS!D249</f>
        <v>0</v>
      </c>
      <c r="E248" s="42">
        <f>REGISTRO_B.DATOS!E249</f>
        <v>0</v>
      </c>
      <c r="F248" s="41">
        <f>REGISTRO_B.DATOS!F249</f>
        <v>0</v>
      </c>
      <c r="G248" s="41">
        <f>REGISTRO_B.DATOS!G249</f>
        <v>0</v>
      </c>
      <c r="H248" s="41">
        <f>REGISTRO_B.DATOS!H249</f>
        <v>0</v>
      </c>
      <c r="I248" s="41">
        <f>REGISTRO_B.DATOS!I249</f>
        <v>0</v>
      </c>
      <c r="J248" s="41">
        <f>REGISTRO_B.DATOS!J249</f>
        <v>0</v>
      </c>
      <c r="K248" s="43">
        <f>REGISTRO_B.DATOS!K249</f>
        <v>0</v>
      </c>
    </row>
    <row r="249" spans="1:11" x14ac:dyDescent="0.25">
      <c r="A249" s="40">
        <f>REGISTRO_B.DATOS!A250</f>
        <v>0</v>
      </c>
      <c r="B249" s="41">
        <f>REGISTRO_B.DATOS!B250</f>
        <v>0</v>
      </c>
      <c r="C249" s="41">
        <f>REGISTRO_B.DATOS!C250</f>
        <v>0</v>
      </c>
      <c r="D249" s="41">
        <f>REGISTRO_B.DATOS!D250</f>
        <v>0</v>
      </c>
      <c r="E249" s="42">
        <f>REGISTRO_B.DATOS!E250</f>
        <v>0</v>
      </c>
      <c r="F249" s="41">
        <f>REGISTRO_B.DATOS!F250</f>
        <v>0</v>
      </c>
      <c r="G249" s="41">
        <f>REGISTRO_B.DATOS!G250</f>
        <v>0</v>
      </c>
      <c r="H249" s="41">
        <f>REGISTRO_B.DATOS!H250</f>
        <v>0</v>
      </c>
      <c r="I249" s="41">
        <f>REGISTRO_B.DATOS!I250</f>
        <v>0</v>
      </c>
      <c r="J249" s="41">
        <f>REGISTRO_B.DATOS!J250</f>
        <v>0</v>
      </c>
      <c r="K249" s="43">
        <f>REGISTRO_B.DATOS!K250</f>
        <v>0</v>
      </c>
    </row>
    <row r="250" spans="1:11" x14ac:dyDescent="0.25">
      <c r="A250" s="40">
        <f>REGISTRO_B.DATOS!A251</f>
        <v>0</v>
      </c>
      <c r="B250" s="41">
        <f>REGISTRO_B.DATOS!B251</f>
        <v>0</v>
      </c>
      <c r="C250" s="41">
        <f>REGISTRO_B.DATOS!C251</f>
        <v>0</v>
      </c>
      <c r="D250" s="41">
        <f>REGISTRO_B.DATOS!D251</f>
        <v>0</v>
      </c>
      <c r="E250" s="42">
        <f>REGISTRO_B.DATOS!E251</f>
        <v>0</v>
      </c>
      <c r="F250" s="41">
        <f>REGISTRO_B.DATOS!F251</f>
        <v>0</v>
      </c>
      <c r="G250" s="41">
        <f>REGISTRO_B.DATOS!G251</f>
        <v>0</v>
      </c>
      <c r="H250" s="41">
        <f>REGISTRO_B.DATOS!H251</f>
        <v>0</v>
      </c>
      <c r="I250" s="41">
        <f>REGISTRO_B.DATOS!I251</f>
        <v>0</v>
      </c>
      <c r="J250" s="41">
        <f>REGISTRO_B.DATOS!J251</f>
        <v>0</v>
      </c>
      <c r="K250" s="43">
        <f>REGISTRO_B.DATOS!K251</f>
        <v>0</v>
      </c>
    </row>
    <row r="251" spans="1:11" x14ac:dyDescent="0.25">
      <c r="A251" s="40">
        <f>REGISTRO_B.DATOS!A252</f>
        <v>0</v>
      </c>
      <c r="B251" s="41">
        <f>REGISTRO_B.DATOS!B252</f>
        <v>0</v>
      </c>
      <c r="C251" s="41">
        <f>REGISTRO_B.DATOS!C252</f>
        <v>0</v>
      </c>
      <c r="D251" s="41">
        <f>REGISTRO_B.DATOS!D252</f>
        <v>0</v>
      </c>
      <c r="E251" s="42">
        <f>REGISTRO_B.DATOS!E252</f>
        <v>0</v>
      </c>
      <c r="F251" s="41">
        <f>REGISTRO_B.DATOS!F252</f>
        <v>0</v>
      </c>
      <c r="G251" s="41">
        <f>REGISTRO_B.DATOS!G252</f>
        <v>0</v>
      </c>
      <c r="H251" s="41">
        <f>REGISTRO_B.DATOS!H252</f>
        <v>0</v>
      </c>
      <c r="I251" s="41">
        <f>REGISTRO_B.DATOS!I252</f>
        <v>0</v>
      </c>
      <c r="J251" s="41">
        <f>REGISTRO_B.DATOS!J252</f>
        <v>0</v>
      </c>
      <c r="K251" s="43">
        <f>REGISTRO_B.DATOS!K252</f>
        <v>0</v>
      </c>
    </row>
    <row r="252" spans="1:11" x14ac:dyDescent="0.25">
      <c r="A252" s="40">
        <f>REGISTRO_B.DATOS!A253</f>
        <v>0</v>
      </c>
      <c r="B252" s="41">
        <f>REGISTRO_B.DATOS!B253</f>
        <v>0</v>
      </c>
      <c r="C252" s="41">
        <f>REGISTRO_B.DATOS!C253</f>
        <v>0</v>
      </c>
      <c r="D252" s="41">
        <f>REGISTRO_B.DATOS!D253</f>
        <v>0</v>
      </c>
      <c r="E252" s="42">
        <f>REGISTRO_B.DATOS!E253</f>
        <v>0</v>
      </c>
      <c r="F252" s="41">
        <f>REGISTRO_B.DATOS!F253</f>
        <v>0</v>
      </c>
      <c r="G252" s="41">
        <f>REGISTRO_B.DATOS!G253</f>
        <v>0</v>
      </c>
      <c r="H252" s="41">
        <f>REGISTRO_B.DATOS!H253</f>
        <v>0</v>
      </c>
      <c r="I252" s="41">
        <f>REGISTRO_B.DATOS!I253</f>
        <v>0</v>
      </c>
      <c r="J252" s="41">
        <f>REGISTRO_B.DATOS!J253</f>
        <v>0</v>
      </c>
      <c r="K252" s="43">
        <f>REGISTRO_B.DATOS!K253</f>
        <v>0</v>
      </c>
    </row>
    <row r="253" spans="1:11" x14ac:dyDescent="0.25">
      <c r="A253" s="40">
        <f>REGISTRO_B.DATOS!A254</f>
        <v>0</v>
      </c>
      <c r="B253" s="41">
        <f>REGISTRO_B.DATOS!B254</f>
        <v>0</v>
      </c>
      <c r="C253" s="41">
        <f>REGISTRO_B.DATOS!C254</f>
        <v>0</v>
      </c>
      <c r="D253" s="41">
        <f>REGISTRO_B.DATOS!D254</f>
        <v>0</v>
      </c>
      <c r="E253" s="42">
        <f>REGISTRO_B.DATOS!E254</f>
        <v>0</v>
      </c>
      <c r="F253" s="41">
        <f>REGISTRO_B.DATOS!F254</f>
        <v>0</v>
      </c>
      <c r="G253" s="41">
        <f>REGISTRO_B.DATOS!G254</f>
        <v>0</v>
      </c>
      <c r="H253" s="41">
        <f>REGISTRO_B.DATOS!H254</f>
        <v>0</v>
      </c>
      <c r="I253" s="41">
        <f>REGISTRO_B.DATOS!I254</f>
        <v>0</v>
      </c>
      <c r="J253" s="41">
        <f>REGISTRO_B.DATOS!J254</f>
        <v>0</v>
      </c>
      <c r="K253" s="43">
        <f>REGISTRO_B.DATOS!K254</f>
        <v>0</v>
      </c>
    </row>
    <row r="254" spans="1:11" x14ac:dyDescent="0.25">
      <c r="A254" s="40">
        <f>REGISTRO_B.DATOS!A255</f>
        <v>0</v>
      </c>
      <c r="B254" s="41">
        <f>REGISTRO_B.DATOS!B255</f>
        <v>0</v>
      </c>
      <c r="C254" s="41">
        <f>REGISTRO_B.DATOS!C255</f>
        <v>0</v>
      </c>
      <c r="D254" s="41">
        <f>REGISTRO_B.DATOS!D255</f>
        <v>0</v>
      </c>
      <c r="E254" s="42">
        <f>REGISTRO_B.DATOS!E255</f>
        <v>0</v>
      </c>
      <c r="F254" s="41">
        <f>REGISTRO_B.DATOS!F255</f>
        <v>0</v>
      </c>
      <c r="G254" s="41">
        <f>REGISTRO_B.DATOS!G255</f>
        <v>0</v>
      </c>
      <c r="H254" s="41">
        <f>REGISTRO_B.DATOS!H255</f>
        <v>0</v>
      </c>
      <c r="I254" s="41">
        <f>REGISTRO_B.DATOS!I255</f>
        <v>0</v>
      </c>
      <c r="J254" s="41">
        <f>REGISTRO_B.DATOS!J255</f>
        <v>0</v>
      </c>
      <c r="K254" s="43">
        <f>REGISTRO_B.DATOS!K255</f>
        <v>0</v>
      </c>
    </row>
    <row r="255" spans="1:11" x14ac:dyDescent="0.25">
      <c r="A255" s="40">
        <f>REGISTRO_B.DATOS!A256</f>
        <v>0</v>
      </c>
      <c r="B255" s="41">
        <f>REGISTRO_B.DATOS!B256</f>
        <v>0</v>
      </c>
      <c r="C255" s="41">
        <f>REGISTRO_B.DATOS!C256</f>
        <v>0</v>
      </c>
      <c r="D255" s="41">
        <f>REGISTRO_B.DATOS!D256</f>
        <v>0</v>
      </c>
      <c r="E255" s="42">
        <f>REGISTRO_B.DATOS!E256</f>
        <v>0</v>
      </c>
      <c r="F255" s="41">
        <f>REGISTRO_B.DATOS!F256</f>
        <v>0</v>
      </c>
      <c r="G255" s="41">
        <f>REGISTRO_B.DATOS!G256</f>
        <v>0</v>
      </c>
      <c r="H255" s="41">
        <f>REGISTRO_B.DATOS!H256</f>
        <v>0</v>
      </c>
      <c r="I255" s="41">
        <f>REGISTRO_B.DATOS!I256</f>
        <v>0</v>
      </c>
      <c r="J255" s="41">
        <f>REGISTRO_B.DATOS!J256</f>
        <v>0</v>
      </c>
      <c r="K255" s="43">
        <f>REGISTRO_B.DATOS!K256</f>
        <v>0</v>
      </c>
    </row>
    <row r="256" spans="1:11" x14ac:dyDescent="0.25">
      <c r="A256" s="40">
        <f>REGISTRO_B.DATOS!A257</f>
        <v>0</v>
      </c>
      <c r="B256" s="41">
        <f>REGISTRO_B.DATOS!B257</f>
        <v>0</v>
      </c>
      <c r="C256" s="41">
        <f>REGISTRO_B.DATOS!C257</f>
        <v>0</v>
      </c>
      <c r="D256" s="41">
        <f>REGISTRO_B.DATOS!D257</f>
        <v>0</v>
      </c>
      <c r="E256" s="42">
        <f>REGISTRO_B.DATOS!E257</f>
        <v>0</v>
      </c>
      <c r="F256" s="41">
        <f>REGISTRO_B.DATOS!F257</f>
        <v>0</v>
      </c>
      <c r="G256" s="41">
        <f>REGISTRO_B.DATOS!G257</f>
        <v>0</v>
      </c>
      <c r="H256" s="41">
        <f>REGISTRO_B.DATOS!H257</f>
        <v>0</v>
      </c>
      <c r="I256" s="41">
        <f>REGISTRO_B.DATOS!I257</f>
        <v>0</v>
      </c>
      <c r="J256" s="41">
        <f>REGISTRO_B.DATOS!J257</f>
        <v>0</v>
      </c>
      <c r="K256" s="43">
        <f>REGISTRO_B.DATOS!K257</f>
        <v>0</v>
      </c>
    </row>
    <row r="257" spans="1:11" x14ac:dyDescent="0.25">
      <c r="A257" s="40">
        <f>REGISTRO_B.DATOS!A258</f>
        <v>0</v>
      </c>
      <c r="B257" s="41">
        <f>REGISTRO_B.DATOS!B258</f>
        <v>0</v>
      </c>
      <c r="C257" s="41">
        <f>REGISTRO_B.DATOS!C258</f>
        <v>0</v>
      </c>
      <c r="D257" s="41">
        <f>REGISTRO_B.DATOS!D258</f>
        <v>0</v>
      </c>
      <c r="E257" s="42">
        <f>REGISTRO_B.DATOS!E258</f>
        <v>0</v>
      </c>
      <c r="F257" s="41">
        <f>REGISTRO_B.DATOS!F258</f>
        <v>0</v>
      </c>
      <c r="G257" s="41">
        <f>REGISTRO_B.DATOS!G258</f>
        <v>0</v>
      </c>
      <c r="H257" s="41">
        <f>REGISTRO_B.DATOS!H258</f>
        <v>0</v>
      </c>
      <c r="I257" s="41">
        <f>REGISTRO_B.DATOS!I258</f>
        <v>0</v>
      </c>
      <c r="J257" s="41">
        <f>REGISTRO_B.DATOS!J258</f>
        <v>0</v>
      </c>
      <c r="K257" s="43">
        <f>REGISTRO_B.DATOS!K258</f>
        <v>0</v>
      </c>
    </row>
    <row r="258" spans="1:11" x14ac:dyDescent="0.25">
      <c r="A258" s="40">
        <f>REGISTRO_B.DATOS!A259</f>
        <v>0</v>
      </c>
      <c r="B258" s="41">
        <f>REGISTRO_B.DATOS!B259</f>
        <v>0</v>
      </c>
      <c r="C258" s="41">
        <f>REGISTRO_B.DATOS!C259</f>
        <v>0</v>
      </c>
      <c r="D258" s="41">
        <f>REGISTRO_B.DATOS!D259</f>
        <v>0</v>
      </c>
      <c r="E258" s="42">
        <f>REGISTRO_B.DATOS!E259</f>
        <v>0</v>
      </c>
      <c r="F258" s="41">
        <f>REGISTRO_B.DATOS!F259</f>
        <v>0</v>
      </c>
      <c r="G258" s="41">
        <f>REGISTRO_B.DATOS!G259</f>
        <v>0</v>
      </c>
      <c r="H258" s="41">
        <f>REGISTRO_B.DATOS!H259</f>
        <v>0</v>
      </c>
      <c r="I258" s="41">
        <f>REGISTRO_B.DATOS!I259</f>
        <v>0</v>
      </c>
      <c r="J258" s="41">
        <f>REGISTRO_B.DATOS!J259</f>
        <v>0</v>
      </c>
      <c r="K258" s="43">
        <f>REGISTRO_B.DATOS!K259</f>
        <v>0</v>
      </c>
    </row>
    <row r="259" spans="1:11" x14ac:dyDescent="0.25">
      <c r="A259" s="40">
        <f>REGISTRO_B.DATOS!A260</f>
        <v>0</v>
      </c>
      <c r="B259" s="41">
        <f>REGISTRO_B.DATOS!B260</f>
        <v>0</v>
      </c>
      <c r="C259" s="41">
        <f>REGISTRO_B.DATOS!C260</f>
        <v>0</v>
      </c>
      <c r="D259" s="41">
        <f>REGISTRO_B.DATOS!D260</f>
        <v>0</v>
      </c>
      <c r="E259" s="42">
        <f>REGISTRO_B.DATOS!E260</f>
        <v>0</v>
      </c>
      <c r="F259" s="41">
        <f>REGISTRO_B.DATOS!F260</f>
        <v>0</v>
      </c>
      <c r="G259" s="41">
        <f>REGISTRO_B.DATOS!G260</f>
        <v>0</v>
      </c>
      <c r="H259" s="41">
        <f>REGISTRO_B.DATOS!H260</f>
        <v>0</v>
      </c>
      <c r="I259" s="41">
        <f>REGISTRO_B.DATOS!I260</f>
        <v>0</v>
      </c>
      <c r="J259" s="41">
        <f>REGISTRO_B.DATOS!J260</f>
        <v>0</v>
      </c>
      <c r="K259" s="43">
        <f>REGISTRO_B.DATOS!K260</f>
        <v>0</v>
      </c>
    </row>
    <row r="260" spans="1:11" x14ac:dyDescent="0.25">
      <c r="A260" s="40">
        <f>REGISTRO_B.DATOS!A261</f>
        <v>0</v>
      </c>
      <c r="B260" s="41">
        <f>REGISTRO_B.DATOS!B261</f>
        <v>0</v>
      </c>
      <c r="C260" s="41">
        <f>REGISTRO_B.DATOS!C261</f>
        <v>0</v>
      </c>
      <c r="D260" s="41">
        <f>REGISTRO_B.DATOS!D261</f>
        <v>0</v>
      </c>
      <c r="E260" s="42">
        <f>REGISTRO_B.DATOS!E261</f>
        <v>0</v>
      </c>
      <c r="F260" s="41">
        <f>REGISTRO_B.DATOS!F261</f>
        <v>0</v>
      </c>
      <c r="G260" s="41">
        <f>REGISTRO_B.DATOS!G261</f>
        <v>0</v>
      </c>
      <c r="H260" s="41">
        <f>REGISTRO_B.DATOS!H261</f>
        <v>0</v>
      </c>
      <c r="I260" s="41">
        <f>REGISTRO_B.DATOS!I261</f>
        <v>0</v>
      </c>
      <c r="J260" s="41">
        <f>REGISTRO_B.DATOS!J261</f>
        <v>0</v>
      </c>
      <c r="K260" s="43">
        <f>REGISTRO_B.DATOS!K261</f>
        <v>0</v>
      </c>
    </row>
    <row r="261" spans="1:11" x14ac:dyDescent="0.25">
      <c r="A261" s="40">
        <f>REGISTRO_B.DATOS!A262</f>
        <v>0</v>
      </c>
      <c r="B261" s="41">
        <f>REGISTRO_B.DATOS!B262</f>
        <v>0</v>
      </c>
      <c r="C261" s="41">
        <f>REGISTRO_B.DATOS!C262</f>
        <v>0</v>
      </c>
      <c r="D261" s="41">
        <f>REGISTRO_B.DATOS!D262</f>
        <v>0</v>
      </c>
      <c r="E261" s="42">
        <f>REGISTRO_B.DATOS!E262</f>
        <v>0</v>
      </c>
      <c r="F261" s="41">
        <f>REGISTRO_B.DATOS!F262</f>
        <v>0</v>
      </c>
      <c r="G261" s="41">
        <f>REGISTRO_B.DATOS!G262</f>
        <v>0</v>
      </c>
      <c r="H261" s="41">
        <f>REGISTRO_B.DATOS!H262</f>
        <v>0</v>
      </c>
      <c r="I261" s="41">
        <f>REGISTRO_B.DATOS!I262</f>
        <v>0</v>
      </c>
      <c r="J261" s="41">
        <f>REGISTRO_B.DATOS!J262</f>
        <v>0</v>
      </c>
      <c r="K261" s="43">
        <f>REGISTRO_B.DATOS!K262</f>
        <v>0</v>
      </c>
    </row>
    <row r="262" spans="1:11" x14ac:dyDescent="0.25">
      <c r="A262" s="40">
        <f>REGISTRO_B.DATOS!A263</f>
        <v>0</v>
      </c>
      <c r="B262" s="41">
        <f>REGISTRO_B.DATOS!B263</f>
        <v>0</v>
      </c>
      <c r="C262" s="41">
        <f>REGISTRO_B.DATOS!C263</f>
        <v>0</v>
      </c>
      <c r="D262" s="41">
        <f>REGISTRO_B.DATOS!D263</f>
        <v>0</v>
      </c>
      <c r="E262" s="42">
        <f>REGISTRO_B.DATOS!E263</f>
        <v>0</v>
      </c>
      <c r="F262" s="41">
        <f>REGISTRO_B.DATOS!F263</f>
        <v>0</v>
      </c>
      <c r="G262" s="41">
        <f>REGISTRO_B.DATOS!G263</f>
        <v>0</v>
      </c>
      <c r="H262" s="41">
        <f>REGISTRO_B.DATOS!H263</f>
        <v>0</v>
      </c>
      <c r="I262" s="41">
        <f>REGISTRO_B.DATOS!I263</f>
        <v>0</v>
      </c>
      <c r="J262" s="41">
        <f>REGISTRO_B.DATOS!J263</f>
        <v>0</v>
      </c>
      <c r="K262" s="43">
        <f>REGISTRO_B.DATOS!K263</f>
        <v>0</v>
      </c>
    </row>
    <row r="263" spans="1:11" x14ac:dyDescent="0.25">
      <c r="A263" s="40">
        <f>REGISTRO_B.DATOS!A264</f>
        <v>0</v>
      </c>
      <c r="B263" s="41">
        <f>REGISTRO_B.DATOS!B264</f>
        <v>0</v>
      </c>
      <c r="C263" s="41">
        <f>REGISTRO_B.DATOS!C264</f>
        <v>0</v>
      </c>
      <c r="D263" s="41">
        <f>REGISTRO_B.DATOS!D264</f>
        <v>0</v>
      </c>
      <c r="E263" s="42">
        <f>REGISTRO_B.DATOS!E264</f>
        <v>0</v>
      </c>
      <c r="F263" s="41">
        <f>REGISTRO_B.DATOS!F264</f>
        <v>0</v>
      </c>
      <c r="G263" s="41">
        <f>REGISTRO_B.DATOS!G264</f>
        <v>0</v>
      </c>
      <c r="H263" s="41">
        <f>REGISTRO_B.DATOS!H264</f>
        <v>0</v>
      </c>
      <c r="I263" s="41">
        <f>REGISTRO_B.DATOS!I264</f>
        <v>0</v>
      </c>
      <c r="J263" s="41">
        <f>REGISTRO_B.DATOS!J264</f>
        <v>0</v>
      </c>
      <c r="K263" s="43">
        <f>REGISTRO_B.DATOS!K264</f>
        <v>0</v>
      </c>
    </row>
    <row r="264" spans="1:11" x14ac:dyDescent="0.25">
      <c r="A264" s="40">
        <f>REGISTRO_B.DATOS!A265</f>
        <v>0</v>
      </c>
      <c r="B264" s="41">
        <f>REGISTRO_B.DATOS!B265</f>
        <v>0</v>
      </c>
      <c r="C264" s="41">
        <f>REGISTRO_B.DATOS!C265</f>
        <v>0</v>
      </c>
      <c r="D264" s="41">
        <f>REGISTRO_B.DATOS!D265</f>
        <v>0</v>
      </c>
      <c r="E264" s="42">
        <f>REGISTRO_B.DATOS!E265</f>
        <v>0</v>
      </c>
      <c r="F264" s="41">
        <f>REGISTRO_B.DATOS!F265</f>
        <v>0</v>
      </c>
      <c r="G264" s="41">
        <f>REGISTRO_B.DATOS!G265</f>
        <v>0</v>
      </c>
      <c r="H264" s="41">
        <f>REGISTRO_B.DATOS!H265</f>
        <v>0</v>
      </c>
      <c r="I264" s="41">
        <f>REGISTRO_B.DATOS!I265</f>
        <v>0</v>
      </c>
      <c r="J264" s="41">
        <f>REGISTRO_B.DATOS!J265</f>
        <v>0</v>
      </c>
      <c r="K264" s="43">
        <f>REGISTRO_B.DATOS!K265</f>
        <v>0</v>
      </c>
    </row>
    <row r="265" spans="1:11" x14ac:dyDescent="0.25">
      <c r="A265" s="40">
        <f>REGISTRO_B.DATOS!A266</f>
        <v>0</v>
      </c>
      <c r="B265" s="41">
        <f>REGISTRO_B.DATOS!B266</f>
        <v>0</v>
      </c>
      <c r="C265" s="41">
        <f>REGISTRO_B.DATOS!C266</f>
        <v>0</v>
      </c>
      <c r="D265" s="41">
        <f>REGISTRO_B.DATOS!D266</f>
        <v>0</v>
      </c>
      <c r="E265" s="42">
        <f>REGISTRO_B.DATOS!E266</f>
        <v>0</v>
      </c>
      <c r="F265" s="41">
        <f>REGISTRO_B.DATOS!F266</f>
        <v>0</v>
      </c>
      <c r="G265" s="41">
        <f>REGISTRO_B.DATOS!G266</f>
        <v>0</v>
      </c>
      <c r="H265" s="41">
        <f>REGISTRO_B.DATOS!H266</f>
        <v>0</v>
      </c>
      <c r="I265" s="41">
        <f>REGISTRO_B.DATOS!I266</f>
        <v>0</v>
      </c>
      <c r="J265" s="41">
        <f>REGISTRO_B.DATOS!J266</f>
        <v>0</v>
      </c>
      <c r="K265" s="43">
        <f>REGISTRO_B.DATOS!K266</f>
        <v>0</v>
      </c>
    </row>
    <row r="266" spans="1:11" x14ac:dyDescent="0.25">
      <c r="A266" s="40">
        <f>REGISTRO_B.DATOS!A267</f>
        <v>0</v>
      </c>
      <c r="B266" s="41">
        <f>REGISTRO_B.DATOS!B267</f>
        <v>0</v>
      </c>
      <c r="C266" s="41">
        <f>REGISTRO_B.DATOS!C267</f>
        <v>0</v>
      </c>
      <c r="D266" s="41">
        <f>REGISTRO_B.DATOS!D267</f>
        <v>0</v>
      </c>
      <c r="E266" s="42">
        <f>REGISTRO_B.DATOS!E267</f>
        <v>0</v>
      </c>
      <c r="F266" s="41">
        <f>REGISTRO_B.DATOS!F267</f>
        <v>0</v>
      </c>
      <c r="G266" s="41">
        <f>REGISTRO_B.DATOS!G267</f>
        <v>0</v>
      </c>
      <c r="H266" s="41">
        <f>REGISTRO_B.DATOS!H267</f>
        <v>0</v>
      </c>
      <c r="I266" s="41">
        <f>REGISTRO_B.DATOS!I267</f>
        <v>0</v>
      </c>
      <c r="J266" s="41">
        <f>REGISTRO_B.DATOS!J267</f>
        <v>0</v>
      </c>
      <c r="K266" s="43">
        <f>REGISTRO_B.DATOS!K267</f>
        <v>0</v>
      </c>
    </row>
    <row r="267" spans="1:11" x14ac:dyDescent="0.25">
      <c r="A267" s="40">
        <f>REGISTRO_B.DATOS!A268</f>
        <v>0</v>
      </c>
      <c r="B267" s="41">
        <f>REGISTRO_B.DATOS!B268</f>
        <v>0</v>
      </c>
      <c r="C267" s="41">
        <f>REGISTRO_B.DATOS!C268</f>
        <v>0</v>
      </c>
      <c r="D267" s="41">
        <f>REGISTRO_B.DATOS!D268</f>
        <v>0</v>
      </c>
      <c r="E267" s="42">
        <f>REGISTRO_B.DATOS!E268</f>
        <v>0</v>
      </c>
      <c r="F267" s="41">
        <f>REGISTRO_B.DATOS!F268</f>
        <v>0</v>
      </c>
      <c r="G267" s="41">
        <f>REGISTRO_B.DATOS!G268</f>
        <v>0</v>
      </c>
      <c r="H267" s="41">
        <f>REGISTRO_B.DATOS!H268</f>
        <v>0</v>
      </c>
      <c r="I267" s="41">
        <f>REGISTRO_B.DATOS!I268</f>
        <v>0</v>
      </c>
      <c r="J267" s="41">
        <f>REGISTRO_B.DATOS!J268</f>
        <v>0</v>
      </c>
      <c r="K267" s="43">
        <f>REGISTRO_B.DATOS!K268</f>
        <v>0</v>
      </c>
    </row>
    <row r="268" spans="1:11" x14ac:dyDescent="0.25">
      <c r="A268" s="40">
        <f>REGISTRO_B.DATOS!A269</f>
        <v>0</v>
      </c>
      <c r="B268" s="41">
        <f>REGISTRO_B.DATOS!B269</f>
        <v>0</v>
      </c>
      <c r="C268" s="41">
        <f>REGISTRO_B.DATOS!C269</f>
        <v>0</v>
      </c>
      <c r="D268" s="41">
        <f>REGISTRO_B.DATOS!D269</f>
        <v>0</v>
      </c>
      <c r="E268" s="42">
        <f>REGISTRO_B.DATOS!E269</f>
        <v>0</v>
      </c>
      <c r="F268" s="41">
        <f>REGISTRO_B.DATOS!F269</f>
        <v>0</v>
      </c>
      <c r="G268" s="41">
        <f>REGISTRO_B.DATOS!G269</f>
        <v>0</v>
      </c>
      <c r="H268" s="41">
        <f>REGISTRO_B.DATOS!H269</f>
        <v>0</v>
      </c>
      <c r="I268" s="41">
        <f>REGISTRO_B.DATOS!I269</f>
        <v>0</v>
      </c>
      <c r="J268" s="41">
        <f>REGISTRO_B.DATOS!J269</f>
        <v>0</v>
      </c>
      <c r="K268" s="43">
        <f>REGISTRO_B.DATOS!K269</f>
        <v>0</v>
      </c>
    </row>
    <row r="269" spans="1:11" x14ac:dyDescent="0.25">
      <c r="A269" s="40">
        <f>REGISTRO_B.DATOS!A270</f>
        <v>0</v>
      </c>
      <c r="B269" s="41">
        <f>REGISTRO_B.DATOS!B270</f>
        <v>0</v>
      </c>
      <c r="C269" s="41">
        <f>REGISTRO_B.DATOS!C270</f>
        <v>0</v>
      </c>
      <c r="D269" s="41">
        <f>REGISTRO_B.DATOS!D270</f>
        <v>0</v>
      </c>
      <c r="E269" s="42">
        <f>REGISTRO_B.DATOS!E270</f>
        <v>0</v>
      </c>
      <c r="F269" s="41">
        <f>REGISTRO_B.DATOS!F270</f>
        <v>0</v>
      </c>
      <c r="G269" s="41">
        <f>REGISTRO_B.DATOS!G270</f>
        <v>0</v>
      </c>
      <c r="H269" s="41">
        <f>REGISTRO_B.DATOS!H270</f>
        <v>0</v>
      </c>
      <c r="I269" s="41">
        <f>REGISTRO_B.DATOS!I270</f>
        <v>0</v>
      </c>
      <c r="J269" s="41">
        <f>REGISTRO_B.DATOS!J270</f>
        <v>0</v>
      </c>
      <c r="K269" s="43">
        <f>REGISTRO_B.DATOS!K270</f>
        <v>0</v>
      </c>
    </row>
    <row r="270" spans="1:11" x14ac:dyDescent="0.25">
      <c r="A270" s="40">
        <f>REGISTRO_B.DATOS!A271</f>
        <v>0</v>
      </c>
      <c r="B270" s="41">
        <f>REGISTRO_B.DATOS!B271</f>
        <v>0</v>
      </c>
      <c r="C270" s="41">
        <f>REGISTRO_B.DATOS!C271</f>
        <v>0</v>
      </c>
      <c r="D270" s="41">
        <f>REGISTRO_B.DATOS!D271</f>
        <v>0</v>
      </c>
      <c r="E270" s="42">
        <f>REGISTRO_B.DATOS!E271</f>
        <v>0</v>
      </c>
      <c r="F270" s="41">
        <f>REGISTRO_B.DATOS!F271</f>
        <v>0</v>
      </c>
      <c r="G270" s="41">
        <f>REGISTRO_B.DATOS!G271</f>
        <v>0</v>
      </c>
      <c r="H270" s="41">
        <f>REGISTRO_B.DATOS!H271</f>
        <v>0</v>
      </c>
      <c r="I270" s="41">
        <f>REGISTRO_B.DATOS!I271</f>
        <v>0</v>
      </c>
      <c r="J270" s="41">
        <f>REGISTRO_B.DATOS!J271</f>
        <v>0</v>
      </c>
      <c r="K270" s="43">
        <f>REGISTRO_B.DATOS!K271</f>
        <v>0</v>
      </c>
    </row>
    <row r="271" spans="1:11" x14ac:dyDescent="0.25">
      <c r="A271" s="40">
        <f>REGISTRO_B.DATOS!A272</f>
        <v>0</v>
      </c>
      <c r="B271" s="41">
        <f>REGISTRO_B.DATOS!B272</f>
        <v>0</v>
      </c>
      <c r="C271" s="41">
        <f>REGISTRO_B.DATOS!C272</f>
        <v>0</v>
      </c>
      <c r="D271" s="41">
        <f>REGISTRO_B.DATOS!D272</f>
        <v>0</v>
      </c>
      <c r="E271" s="42">
        <f>REGISTRO_B.DATOS!E272</f>
        <v>0</v>
      </c>
      <c r="F271" s="41">
        <f>REGISTRO_B.DATOS!F272</f>
        <v>0</v>
      </c>
      <c r="G271" s="41">
        <f>REGISTRO_B.DATOS!G272</f>
        <v>0</v>
      </c>
      <c r="H271" s="41">
        <f>REGISTRO_B.DATOS!H272</f>
        <v>0</v>
      </c>
      <c r="I271" s="41">
        <f>REGISTRO_B.DATOS!I272</f>
        <v>0</v>
      </c>
      <c r="J271" s="41">
        <f>REGISTRO_B.DATOS!J272</f>
        <v>0</v>
      </c>
      <c r="K271" s="43">
        <f>REGISTRO_B.DATOS!K272</f>
        <v>0</v>
      </c>
    </row>
    <row r="272" spans="1:11" x14ac:dyDescent="0.25">
      <c r="A272" s="40">
        <f>REGISTRO_B.DATOS!A273</f>
        <v>0</v>
      </c>
      <c r="B272" s="41">
        <f>REGISTRO_B.DATOS!B273</f>
        <v>0</v>
      </c>
      <c r="C272" s="41">
        <f>REGISTRO_B.DATOS!C273</f>
        <v>0</v>
      </c>
      <c r="D272" s="41">
        <f>REGISTRO_B.DATOS!D273</f>
        <v>0</v>
      </c>
      <c r="E272" s="42">
        <f>REGISTRO_B.DATOS!E273</f>
        <v>0</v>
      </c>
      <c r="F272" s="41">
        <f>REGISTRO_B.DATOS!F273</f>
        <v>0</v>
      </c>
      <c r="G272" s="41">
        <f>REGISTRO_B.DATOS!G273</f>
        <v>0</v>
      </c>
      <c r="H272" s="41">
        <f>REGISTRO_B.DATOS!H273</f>
        <v>0</v>
      </c>
      <c r="I272" s="41">
        <f>REGISTRO_B.DATOS!I273</f>
        <v>0</v>
      </c>
      <c r="J272" s="41">
        <f>REGISTRO_B.DATOS!J273</f>
        <v>0</v>
      </c>
      <c r="K272" s="43">
        <f>REGISTRO_B.DATOS!K273</f>
        <v>0</v>
      </c>
    </row>
    <row r="273" spans="1:11" x14ac:dyDescent="0.25">
      <c r="A273" s="40">
        <f>REGISTRO_B.DATOS!A274</f>
        <v>0</v>
      </c>
      <c r="B273" s="41">
        <f>REGISTRO_B.DATOS!B274</f>
        <v>0</v>
      </c>
      <c r="C273" s="41">
        <f>REGISTRO_B.DATOS!C274</f>
        <v>0</v>
      </c>
      <c r="D273" s="41">
        <f>REGISTRO_B.DATOS!D274</f>
        <v>0</v>
      </c>
      <c r="E273" s="42">
        <f>REGISTRO_B.DATOS!E274</f>
        <v>0</v>
      </c>
      <c r="F273" s="41">
        <f>REGISTRO_B.DATOS!F274</f>
        <v>0</v>
      </c>
      <c r="G273" s="41">
        <f>REGISTRO_B.DATOS!G274</f>
        <v>0</v>
      </c>
      <c r="H273" s="41">
        <f>REGISTRO_B.DATOS!H274</f>
        <v>0</v>
      </c>
      <c r="I273" s="41">
        <f>REGISTRO_B.DATOS!I274</f>
        <v>0</v>
      </c>
      <c r="J273" s="41">
        <f>REGISTRO_B.DATOS!J274</f>
        <v>0</v>
      </c>
      <c r="K273" s="43">
        <f>REGISTRO_B.DATOS!K274</f>
        <v>0</v>
      </c>
    </row>
    <row r="274" spans="1:11" x14ac:dyDescent="0.25">
      <c r="A274" s="40">
        <f>REGISTRO_B.DATOS!A275</f>
        <v>0</v>
      </c>
      <c r="B274" s="41">
        <f>REGISTRO_B.DATOS!B275</f>
        <v>0</v>
      </c>
      <c r="C274" s="41">
        <f>REGISTRO_B.DATOS!C275</f>
        <v>0</v>
      </c>
      <c r="D274" s="41">
        <f>REGISTRO_B.DATOS!D275</f>
        <v>0</v>
      </c>
      <c r="E274" s="42">
        <f>REGISTRO_B.DATOS!E275</f>
        <v>0</v>
      </c>
      <c r="F274" s="41">
        <f>REGISTRO_B.DATOS!F275</f>
        <v>0</v>
      </c>
      <c r="G274" s="41">
        <f>REGISTRO_B.DATOS!G275</f>
        <v>0</v>
      </c>
      <c r="H274" s="41">
        <f>REGISTRO_B.DATOS!H275</f>
        <v>0</v>
      </c>
      <c r="I274" s="41">
        <f>REGISTRO_B.DATOS!I275</f>
        <v>0</v>
      </c>
      <c r="J274" s="41">
        <f>REGISTRO_B.DATOS!J275</f>
        <v>0</v>
      </c>
      <c r="K274" s="43">
        <f>REGISTRO_B.DATOS!K275</f>
        <v>0</v>
      </c>
    </row>
    <row r="275" spans="1:11" x14ac:dyDescent="0.25">
      <c r="A275" s="40">
        <f>REGISTRO_B.DATOS!A276</f>
        <v>0</v>
      </c>
      <c r="B275" s="41">
        <f>REGISTRO_B.DATOS!B276</f>
        <v>0</v>
      </c>
      <c r="C275" s="41">
        <f>REGISTRO_B.DATOS!C276</f>
        <v>0</v>
      </c>
      <c r="D275" s="41">
        <f>REGISTRO_B.DATOS!D276</f>
        <v>0</v>
      </c>
      <c r="E275" s="42">
        <f>REGISTRO_B.DATOS!E276</f>
        <v>0</v>
      </c>
      <c r="F275" s="41">
        <f>REGISTRO_B.DATOS!F276</f>
        <v>0</v>
      </c>
      <c r="G275" s="41">
        <f>REGISTRO_B.DATOS!G276</f>
        <v>0</v>
      </c>
      <c r="H275" s="41">
        <f>REGISTRO_B.DATOS!H276</f>
        <v>0</v>
      </c>
      <c r="I275" s="41">
        <f>REGISTRO_B.DATOS!I276</f>
        <v>0</v>
      </c>
      <c r="J275" s="41">
        <f>REGISTRO_B.DATOS!J276</f>
        <v>0</v>
      </c>
      <c r="K275" s="43">
        <f>REGISTRO_B.DATOS!K276</f>
        <v>0</v>
      </c>
    </row>
    <row r="276" spans="1:11" x14ac:dyDescent="0.25">
      <c r="A276" s="40">
        <f>REGISTRO_B.DATOS!A277</f>
        <v>0</v>
      </c>
      <c r="B276" s="41">
        <f>REGISTRO_B.DATOS!B277</f>
        <v>0</v>
      </c>
      <c r="C276" s="41">
        <f>REGISTRO_B.DATOS!C277</f>
        <v>0</v>
      </c>
      <c r="D276" s="41">
        <f>REGISTRO_B.DATOS!D277</f>
        <v>0</v>
      </c>
      <c r="E276" s="42">
        <f>REGISTRO_B.DATOS!E277</f>
        <v>0</v>
      </c>
      <c r="F276" s="41">
        <f>REGISTRO_B.DATOS!F277</f>
        <v>0</v>
      </c>
      <c r="G276" s="41">
        <f>REGISTRO_B.DATOS!G277</f>
        <v>0</v>
      </c>
      <c r="H276" s="41">
        <f>REGISTRO_B.DATOS!H277</f>
        <v>0</v>
      </c>
      <c r="I276" s="41">
        <f>REGISTRO_B.DATOS!I277</f>
        <v>0</v>
      </c>
      <c r="J276" s="41">
        <f>REGISTRO_B.DATOS!J277</f>
        <v>0</v>
      </c>
      <c r="K276" s="43">
        <f>REGISTRO_B.DATOS!K277</f>
        <v>0</v>
      </c>
    </row>
    <row r="277" spans="1:11" x14ac:dyDescent="0.25">
      <c r="A277" s="40">
        <f>REGISTRO_B.DATOS!A278</f>
        <v>0</v>
      </c>
      <c r="B277" s="41">
        <f>REGISTRO_B.DATOS!B278</f>
        <v>0</v>
      </c>
      <c r="C277" s="41">
        <f>REGISTRO_B.DATOS!C278</f>
        <v>0</v>
      </c>
      <c r="D277" s="41">
        <f>REGISTRO_B.DATOS!D278</f>
        <v>0</v>
      </c>
      <c r="E277" s="42">
        <f>REGISTRO_B.DATOS!E278</f>
        <v>0</v>
      </c>
      <c r="F277" s="41">
        <f>REGISTRO_B.DATOS!F278</f>
        <v>0</v>
      </c>
      <c r="G277" s="41">
        <f>REGISTRO_B.DATOS!G278</f>
        <v>0</v>
      </c>
      <c r="H277" s="41">
        <f>REGISTRO_B.DATOS!H278</f>
        <v>0</v>
      </c>
      <c r="I277" s="41">
        <f>REGISTRO_B.DATOS!I278</f>
        <v>0</v>
      </c>
      <c r="J277" s="41">
        <f>REGISTRO_B.DATOS!J278</f>
        <v>0</v>
      </c>
      <c r="K277" s="43">
        <f>REGISTRO_B.DATOS!K278</f>
        <v>0</v>
      </c>
    </row>
    <row r="278" spans="1:11" x14ac:dyDescent="0.25">
      <c r="A278" s="40">
        <f>REGISTRO_B.DATOS!A279</f>
        <v>0</v>
      </c>
      <c r="B278" s="41">
        <f>REGISTRO_B.DATOS!B279</f>
        <v>0</v>
      </c>
      <c r="C278" s="41">
        <f>REGISTRO_B.DATOS!C279</f>
        <v>0</v>
      </c>
      <c r="D278" s="41">
        <f>REGISTRO_B.DATOS!D279</f>
        <v>0</v>
      </c>
      <c r="E278" s="42">
        <f>REGISTRO_B.DATOS!E279</f>
        <v>0</v>
      </c>
      <c r="F278" s="41">
        <f>REGISTRO_B.DATOS!F279</f>
        <v>0</v>
      </c>
      <c r="G278" s="41">
        <f>REGISTRO_B.DATOS!G279</f>
        <v>0</v>
      </c>
      <c r="H278" s="41">
        <f>REGISTRO_B.DATOS!H279</f>
        <v>0</v>
      </c>
      <c r="I278" s="41">
        <f>REGISTRO_B.DATOS!I279</f>
        <v>0</v>
      </c>
      <c r="J278" s="41">
        <f>REGISTRO_B.DATOS!J279</f>
        <v>0</v>
      </c>
      <c r="K278" s="43">
        <f>REGISTRO_B.DATOS!K279</f>
        <v>0</v>
      </c>
    </row>
    <row r="279" spans="1:11" x14ac:dyDescent="0.25">
      <c r="A279" s="40">
        <f>REGISTRO_B.DATOS!A280</f>
        <v>0</v>
      </c>
      <c r="B279" s="41">
        <f>REGISTRO_B.DATOS!B280</f>
        <v>0</v>
      </c>
      <c r="C279" s="41">
        <f>REGISTRO_B.DATOS!C280</f>
        <v>0</v>
      </c>
      <c r="D279" s="41">
        <f>REGISTRO_B.DATOS!D280</f>
        <v>0</v>
      </c>
      <c r="E279" s="42">
        <f>REGISTRO_B.DATOS!E280</f>
        <v>0</v>
      </c>
      <c r="F279" s="41">
        <f>REGISTRO_B.DATOS!F280</f>
        <v>0</v>
      </c>
      <c r="G279" s="41">
        <f>REGISTRO_B.DATOS!G280</f>
        <v>0</v>
      </c>
      <c r="H279" s="41">
        <f>REGISTRO_B.DATOS!H280</f>
        <v>0</v>
      </c>
      <c r="I279" s="41">
        <f>REGISTRO_B.DATOS!I280</f>
        <v>0</v>
      </c>
      <c r="J279" s="41">
        <f>REGISTRO_B.DATOS!J280</f>
        <v>0</v>
      </c>
      <c r="K279" s="43">
        <f>REGISTRO_B.DATOS!K280</f>
        <v>0</v>
      </c>
    </row>
    <row r="280" spans="1:11" x14ac:dyDescent="0.25">
      <c r="A280" s="40">
        <f>REGISTRO_B.DATOS!A281</f>
        <v>0</v>
      </c>
      <c r="B280" s="41">
        <f>REGISTRO_B.DATOS!B281</f>
        <v>0</v>
      </c>
      <c r="C280" s="41">
        <f>REGISTRO_B.DATOS!C281</f>
        <v>0</v>
      </c>
      <c r="D280" s="41">
        <f>REGISTRO_B.DATOS!D281</f>
        <v>0</v>
      </c>
      <c r="E280" s="42">
        <f>REGISTRO_B.DATOS!E281</f>
        <v>0</v>
      </c>
      <c r="F280" s="41">
        <f>REGISTRO_B.DATOS!F281</f>
        <v>0</v>
      </c>
      <c r="G280" s="41">
        <f>REGISTRO_B.DATOS!G281</f>
        <v>0</v>
      </c>
      <c r="H280" s="41">
        <f>REGISTRO_B.DATOS!H281</f>
        <v>0</v>
      </c>
      <c r="I280" s="41">
        <f>REGISTRO_B.DATOS!I281</f>
        <v>0</v>
      </c>
      <c r="J280" s="41">
        <f>REGISTRO_B.DATOS!J281</f>
        <v>0</v>
      </c>
      <c r="K280" s="43">
        <f>REGISTRO_B.DATOS!K281</f>
        <v>0</v>
      </c>
    </row>
    <row r="281" spans="1:11" x14ac:dyDescent="0.25">
      <c r="A281" s="40">
        <f>REGISTRO_B.DATOS!A282</f>
        <v>0</v>
      </c>
      <c r="B281" s="41">
        <f>REGISTRO_B.DATOS!B282</f>
        <v>0</v>
      </c>
      <c r="C281" s="41">
        <f>REGISTRO_B.DATOS!C282</f>
        <v>0</v>
      </c>
      <c r="D281" s="41">
        <f>REGISTRO_B.DATOS!D282</f>
        <v>0</v>
      </c>
      <c r="E281" s="42">
        <f>REGISTRO_B.DATOS!E282</f>
        <v>0</v>
      </c>
      <c r="F281" s="41">
        <f>REGISTRO_B.DATOS!F282</f>
        <v>0</v>
      </c>
      <c r="G281" s="41">
        <f>REGISTRO_B.DATOS!G282</f>
        <v>0</v>
      </c>
      <c r="H281" s="41">
        <f>REGISTRO_B.DATOS!H282</f>
        <v>0</v>
      </c>
      <c r="I281" s="41">
        <f>REGISTRO_B.DATOS!I282</f>
        <v>0</v>
      </c>
      <c r="J281" s="41">
        <f>REGISTRO_B.DATOS!J282</f>
        <v>0</v>
      </c>
      <c r="K281" s="43">
        <f>REGISTRO_B.DATOS!K282</f>
        <v>0</v>
      </c>
    </row>
    <row r="282" spans="1:11" x14ac:dyDescent="0.25">
      <c r="A282" s="40">
        <f>REGISTRO_B.DATOS!A283</f>
        <v>0</v>
      </c>
      <c r="B282" s="41">
        <f>REGISTRO_B.DATOS!B283</f>
        <v>0</v>
      </c>
      <c r="C282" s="41">
        <f>REGISTRO_B.DATOS!C283</f>
        <v>0</v>
      </c>
      <c r="D282" s="41">
        <f>REGISTRO_B.DATOS!D283</f>
        <v>0</v>
      </c>
      <c r="E282" s="42">
        <f>REGISTRO_B.DATOS!E283</f>
        <v>0</v>
      </c>
      <c r="F282" s="41">
        <f>REGISTRO_B.DATOS!F283</f>
        <v>0</v>
      </c>
      <c r="G282" s="41">
        <f>REGISTRO_B.DATOS!G283</f>
        <v>0</v>
      </c>
      <c r="H282" s="41">
        <f>REGISTRO_B.DATOS!H283</f>
        <v>0</v>
      </c>
      <c r="I282" s="41">
        <f>REGISTRO_B.DATOS!I283</f>
        <v>0</v>
      </c>
      <c r="J282" s="41">
        <f>REGISTRO_B.DATOS!J283</f>
        <v>0</v>
      </c>
      <c r="K282" s="43">
        <f>REGISTRO_B.DATOS!K283</f>
        <v>0</v>
      </c>
    </row>
    <row r="283" spans="1:11" x14ac:dyDescent="0.25">
      <c r="A283" s="40">
        <f>REGISTRO_B.DATOS!A284</f>
        <v>0</v>
      </c>
      <c r="B283" s="41">
        <f>REGISTRO_B.DATOS!B284</f>
        <v>0</v>
      </c>
      <c r="C283" s="41">
        <f>REGISTRO_B.DATOS!C284</f>
        <v>0</v>
      </c>
      <c r="D283" s="41">
        <f>REGISTRO_B.DATOS!D284</f>
        <v>0</v>
      </c>
      <c r="E283" s="42">
        <f>REGISTRO_B.DATOS!E284</f>
        <v>0</v>
      </c>
      <c r="F283" s="41">
        <f>REGISTRO_B.DATOS!F284</f>
        <v>0</v>
      </c>
      <c r="G283" s="41">
        <f>REGISTRO_B.DATOS!G284</f>
        <v>0</v>
      </c>
      <c r="H283" s="41">
        <f>REGISTRO_B.DATOS!H284</f>
        <v>0</v>
      </c>
      <c r="I283" s="41">
        <f>REGISTRO_B.DATOS!I284</f>
        <v>0</v>
      </c>
      <c r="J283" s="41">
        <f>REGISTRO_B.DATOS!J284</f>
        <v>0</v>
      </c>
      <c r="K283" s="43">
        <f>REGISTRO_B.DATOS!K284</f>
        <v>0</v>
      </c>
    </row>
    <row r="284" spans="1:11" x14ac:dyDescent="0.25">
      <c r="A284" s="40">
        <f>REGISTRO_B.DATOS!A285</f>
        <v>0</v>
      </c>
      <c r="B284" s="41">
        <f>REGISTRO_B.DATOS!B285</f>
        <v>0</v>
      </c>
      <c r="C284" s="41">
        <f>REGISTRO_B.DATOS!C285</f>
        <v>0</v>
      </c>
      <c r="D284" s="41">
        <f>REGISTRO_B.DATOS!D285</f>
        <v>0</v>
      </c>
      <c r="E284" s="42">
        <f>REGISTRO_B.DATOS!E285</f>
        <v>0</v>
      </c>
      <c r="F284" s="41">
        <f>REGISTRO_B.DATOS!F285</f>
        <v>0</v>
      </c>
      <c r="G284" s="41">
        <f>REGISTRO_B.DATOS!G285</f>
        <v>0</v>
      </c>
      <c r="H284" s="41">
        <f>REGISTRO_B.DATOS!H285</f>
        <v>0</v>
      </c>
      <c r="I284" s="41">
        <f>REGISTRO_B.DATOS!I285</f>
        <v>0</v>
      </c>
      <c r="J284" s="41">
        <f>REGISTRO_B.DATOS!J285</f>
        <v>0</v>
      </c>
      <c r="K284" s="43">
        <f>REGISTRO_B.DATOS!K285</f>
        <v>0</v>
      </c>
    </row>
    <row r="285" spans="1:11" x14ac:dyDescent="0.25">
      <c r="A285" s="40">
        <f>REGISTRO_B.DATOS!A286</f>
        <v>0</v>
      </c>
      <c r="B285" s="41">
        <f>REGISTRO_B.DATOS!B286</f>
        <v>0</v>
      </c>
      <c r="C285" s="41">
        <f>REGISTRO_B.DATOS!C286</f>
        <v>0</v>
      </c>
      <c r="D285" s="41">
        <f>REGISTRO_B.DATOS!D286</f>
        <v>0</v>
      </c>
      <c r="E285" s="42">
        <f>REGISTRO_B.DATOS!E286</f>
        <v>0</v>
      </c>
      <c r="F285" s="41">
        <f>REGISTRO_B.DATOS!F286</f>
        <v>0</v>
      </c>
      <c r="G285" s="41">
        <f>REGISTRO_B.DATOS!G286</f>
        <v>0</v>
      </c>
      <c r="H285" s="41">
        <f>REGISTRO_B.DATOS!H286</f>
        <v>0</v>
      </c>
      <c r="I285" s="41">
        <f>REGISTRO_B.DATOS!I286</f>
        <v>0</v>
      </c>
      <c r="J285" s="41">
        <f>REGISTRO_B.DATOS!J286</f>
        <v>0</v>
      </c>
      <c r="K285" s="43">
        <f>REGISTRO_B.DATOS!K286</f>
        <v>0</v>
      </c>
    </row>
    <row r="286" spans="1:11" x14ac:dyDescent="0.25">
      <c r="A286" s="40">
        <f>REGISTRO_B.DATOS!A287</f>
        <v>0</v>
      </c>
      <c r="B286" s="41">
        <f>REGISTRO_B.DATOS!B287</f>
        <v>0</v>
      </c>
      <c r="C286" s="41">
        <f>REGISTRO_B.DATOS!C287</f>
        <v>0</v>
      </c>
      <c r="D286" s="41">
        <f>REGISTRO_B.DATOS!D287</f>
        <v>0</v>
      </c>
      <c r="E286" s="42">
        <f>REGISTRO_B.DATOS!E287</f>
        <v>0</v>
      </c>
      <c r="F286" s="41">
        <f>REGISTRO_B.DATOS!F287</f>
        <v>0</v>
      </c>
      <c r="G286" s="41">
        <f>REGISTRO_B.DATOS!G287</f>
        <v>0</v>
      </c>
      <c r="H286" s="41">
        <f>REGISTRO_B.DATOS!H287</f>
        <v>0</v>
      </c>
      <c r="I286" s="41">
        <f>REGISTRO_B.DATOS!I287</f>
        <v>0</v>
      </c>
      <c r="J286" s="41">
        <f>REGISTRO_B.DATOS!J287</f>
        <v>0</v>
      </c>
      <c r="K286" s="43">
        <f>REGISTRO_B.DATOS!K287</f>
        <v>0</v>
      </c>
    </row>
    <row r="287" spans="1:11" x14ac:dyDescent="0.25">
      <c r="A287" s="40">
        <f>REGISTRO_B.DATOS!A288</f>
        <v>0</v>
      </c>
      <c r="B287" s="41">
        <f>REGISTRO_B.DATOS!B288</f>
        <v>0</v>
      </c>
      <c r="C287" s="41">
        <f>REGISTRO_B.DATOS!C288</f>
        <v>0</v>
      </c>
      <c r="D287" s="41">
        <f>REGISTRO_B.DATOS!D288</f>
        <v>0</v>
      </c>
      <c r="E287" s="42">
        <f>REGISTRO_B.DATOS!E288</f>
        <v>0</v>
      </c>
      <c r="F287" s="41">
        <f>REGISTRO_B.DATOS!F288</f>
        <v>0</v>
      </c>
      <c r="G287" s="41">
        <f>REGISTRO_B.DATOS!G288</f>
        <v>0</v>
      </c>
      <c r="H287" s="41">
        <f>REGISTRO_B.DATOS!H288</f>
        <v>0</v>
      </c>
      <c r="I287" s="41">
        <f>REGISTRO_B.DATOS!I288</f>
        <v>0</v>
      </c>
      <c r="J287" s="41">
        <f>REGISTRO_B.DATOS!J288</f>
        <v>0</v>
      </c>
      <c r="K287" s="43">
        <f>REGISTRO_B.DATOS!K288</f>
        <v>0</v>
      </c>
    </row>
    <row r="288" spans="1:11" x14ac:dyDescent="0.25">
      <c r="A288" s="40">
        <f>REGISTRO_B.DATOS!A289</f>
        <v>0</v>
      </c>
      <c r="B288" s="41">
        <f>REGISTRO_B.DATOS!B289</f>
        <v>0</v>
      </c>
      <c r="C288" s="41">
        <f>REGISTRO_B.DATOS!C289</f>
        <v>0</v>
      </c>
      <c r="D288" s="41">
        <f>REGISTRO_B.DATOS!D289</f>
        <v>0</v>
      </c>
      <c r="E288" s="42">
        <f>REGISTRO_B.DATOS!E289</f>
        <v>0</v>
      </c>
      <c r="F288" s="41">
        <f>REGISTRO_B.DATOS!F289</f>
        <v>0</v>
      </c>
      <c r="G288" s="41">
        <f>REGISTRO_B.DATOS!G289</f>
        <v>0</v>
      </c>
      <c r="H288" s="41">
        <f>REGISTRO_B.DATOS!H289</f>
        <v>0</v>
      </c>
      <c r="I288" s="41">
        <f>REGISTRO_B.DATOS!I289</f>
        <v>0</v>
      </c>
      <c r="J288" s="41">
        <f>REGISTRO_B.DATOS!J289</f>
        <v>0</v>
      </c>
      <c r="K288" s="43">
        <f>REGISTRO_B.DATOS!K289</f>
        <v>0</v>
      </c>
    </row>
    <row r="289" spans="1:11" x14ac:dyDescent="0.25">
      <c r="A289" s="40">
        <f>REGISTRO_B.DATOS!A290</f>
        <v>0</v>
      </c>
      <c r="B289" s="41">
        <f>REGISTRO_B.DATOS!B290</f>
        <v>0</v>
      </c>
      <c r="C289" s="41">
        <f>REGISTRO_B.DATOS!C290</f>
        <v>0</v>
      </c>
      <c r="D289" s="41">
        <f>REGISTRO_B.DATOS!D290</f>
        <v>0</v>
      </c>
      <c r="E289" s="42">
        <f>REGISTRO_B.DATOS!E290</f>
        <v>0</v>
      </c>
      <c r="F289" s="41">
        <f>REGISTRO_B.DATOS!F290</f>
        <v>0</v>
      </c>
      <c r="G289" s="41">
        <f>REGISTRO_B.DATOS!G290</f>
        <v>0</v>
      </c>
      <c r="H289" s="41">
        <f>REGISTRO_B.DATOS!H290</f>
        <v>0</v>
      </c>
      <c r="I289" s="41">
        <f>REGISTRO_B.DATOS!I290</f>
        <v>0</v>
      </c>
      <c r="J289" s="41">
        <f>REGISTRO_B.DATOS!J290</f>
        <v>0</v>
      </c>
      <c r="K289" s="43">
        <f>REGISTRO_B.DATOS!K290</f>
        <v>0</v>
      </c>
    </row>
    <row r="290" spans="1:11" x14ac:dyDescent="0.25">
      <c r="A290" s="40">
        <f>REGISTRO_B.DATOS!A291</f>
        <v>0</v>
      </c>
      <c r="B290" s="41">
        <f>REGISTRO_B.DATOS!B291</f>
        <v>0</v>
      </c>
      <c r="C290" s="41">
        <f>REGISTRO_B.DATOS!C291</f>
        <v>0</v>
      </c>
      <c r="D290" s="41">
        <f>REGISTRO_B.DATOS!D291</f>
        <v>0</v>
      </c>
      <c r="E290" s="42">
        <f>REGISTRO_B.DATOS!E291</f>
        <v>0</v>
      </c>
      <c r="F290" s="41">
        <f>REGISTRO_B.DATOS!F291</f>
        <v>0</v>
      </c>
      <c r="G290" s="41">
        <f>REGISTRO_B.DATOS!G291</f>
        <v>0</v>
      </c>
      <c r="H290" s="41">
        <f>REGISTRO_B.DATOS!H291</f>
        <v>0</v>
      </c>
      <c r="I290" s="41">
        <f>REGISTRO_B.DATOS!I291</f>
        <v>0</v>
      </c>
      <c r="J290" s="41">
        <f>REGISTRO_B.DATOS!J291</f>
        <v>0</v>
      </c>
      <c r="K290" s="43">
        <f>REGISTRO_B.DATOS!K291</f>
        <v>0</v>
      </c>
    </row>
    <row r="291" spans="1:11" x14ac:dyDescent="0.25">
      <c r="A291" s="40">
        <f>REGISTRO_B.DATOS!A292</f>
        <v>0</v>
      </c>
      <c r="B291" s="41">
        <f>REGISTRO_B.DATOS!B292</f>
        <v>0</v>
      </c>
      <c r="C291" s="41">
        <f>REGISTRO_B.DATOS!C292</f>
        <v>0</v>
      </c>
      <c r="D291" s="41">
        <f>REGISTRO_B.DATOS!D292</f>
        <v>0</v>
      </c>
      <c r="E291" s="42">
        <f>REGISTRO_B.DATOS!E292</f>
        <v>0</v>
      </c>
      <c r="F291" s="41">
        <f>REGISTRO_B.DATOS!F292</f>
        <v>0</v>
      </c>
      <c r="G291" s="41">
        <f>REGISTRO_B.DATOS!G292</f>
        <v>0</v>
      </c>
      <c r="H291" s="41">
        <f>REGISTRO_B.DATOS!H292</f>
        <v>0</v>
      </c>
      <c r="I291" s="41">
        <f>REGISTRO_B.DATOS!I292</f>
        <v>0</v>
      </c>
      <c r="J291" s="41">
        <f>REGISTRO_B.DATOS!J292</f>
        <v>0</v>
      </c>
      <c r="K291" s="43">
        <f>REGISTRO_B.DATOS!K292</f>
        <v>0</v>
      </c>
    </row>
    <row r="292" spans="1:11" x14ac:dyDescent="0.25">
      <c r="A292" s="40">
        <f>REGISTRO_B.DATOS!A293</f>
        <v>0</v>
      </c>
      <c r="B292" s="41">
        <f>REGISTRO_B.DATOS!B293</f>
        <v>0</v>
      </c>
      <c r="C292" s="41">
        <f>REGISTRO_B.DATOS!C293</f>
        <v>0</v>
      </c>
      <c r="D292" s="41">
        <f>REGISTRO_B.DATOS!D293</f>
        <v>0</v>
      </c>
      <c r="E292" s="42">
        <f>REGISTRO_B.DATOS!E293</f>
        <v>0</v>
      </c>
      <c r="F292" s="41">
        <f>REGISTRO_B.DATOS!F293</f>
        <v>0</v>
      </c>
      <c r="G292" s="41">
        <f>REGISTRO_B.DATOS!G293</f>
        <v>0</v>
      </c>
      <c r="H292" s="41">
        <f>REGISTRO_B.DATOS!H293</f>
        <v>0</v>
      </c>
      <c r="I292" s="41">
        <f>REGISTRO_B.DATOS!I293</f>
        <v>0</v>
      </c>
      <c r="J292" s="41">
        <f>REGISTRO_B.DATOS!J293</f>
        <v>0</v>
      </c>
      <c r="K292" s="43">
        <f>REGISTRO_B.DATOS!K293</f>
        <v>0</v>
      </c>
    </row>
    <row r="293" spans="1:11" x14ac:dyDescent="0.25">
      <c r="A293" s="40">
        <f>REGISTRO_B.DATOS!A294</f>
        <v>0</v>
      </c>
      <c r="B293" s="41">
        <f>REGISTRO_B.DATOS!B294</f>
        <v>0</v>
      </c>
      <c r="C293" s="41">
        <f>REGISTRO_B.DATOS!C294</f>
        <v>0</v>
      </c>
      <c r="D293" s="41">
        <f>REGISTRO_B.DATOS!D294</f>
        <v>0</v>
      </c>
      <c r="E293" s="42">
        <f>REGISTRO_B.DATOS!E294</f>
        <v>0</v>
      </c>
      <c r="F293" s="41">
        <f>REGISTRO_B.DATOS!F294</f>
        <v>0</v>
      </c>
      <c r="G293" s="41">
        <f>REGISTRO_B.DATOS!G294</f>
        <v>0</v>
      </c>
      <c r="H293" s="41">
        <f>REGISTRO_B.DATOS!H294</f>
        <v>0</v>
      </c>
      <c r="I293" s="41">
        <f>REGISTRO_B.DATOS!I294</f>
        <v>0</v>
      </c>
      <c r="J293" s="41">
        <f>REGISTRO_B.DATOS!J294</f>
        <v>0</v>
      </c>
      <c r="K293" s="43">
        <f>REGISTRO_B.DATOS!K294</f>
        <v>0</v>
      </c>
    </row>
    <row r="294" spans="1:11" x14ac:dyDescent="0.25">
      <c r="A294" s="40">
        <f>REGISTRO_B.DATOS!A295</f>
        <v>0</v>
      </c>
      <c r="B294" s="41">
        <f>REGISTRO_B.DATOS!B295</f>
        <v>0</v>
      </c>
      <c r="C294" s="41">
        <f>REGISTRO_B.DATOS!C295</f>
        <v>0</v>
      </c>
      <c r="D294" s="41">
        <f>REGISTRO_B.DATOS!D295</f>
        <v>0</v>
      </c>
      <c r="E294" s="42">
        <f>REGISTRO_B.DATOS!E295</f>
        <v>0</v>
      </c>
      <c r="F294" s="41">
        <f>REGISTRO_B.DATOS!F295</f>
        <v>0</v>
      </c>
      <c r="G294" s="41">
        <f>REGISTRO_B.DATOS!G295</f>
        <v>0</v>
      </c>
      <c r="H294" s="41">
        <f>REGISTRO_B.DATOS!H295</f>
        <v>0</v>
      </c>
      <c r="I294" s="41">
        <f>REGISTRO_B.DATOS!I295</f>
        <v>0</v>
      </c>
      <c r="J294" s="41">
        <f>REGISTRO_B.DATOS!J295</f>
        <v>0</v>
      </c>
      <c r="K294" s="43">
        <f>REGISTRO_B.DATOS!K295</f>
        <v>0</v>
      </c>
    </row>
    <row r="295" spans="1:11" x14ac:dyDescent="0.25">
      <c r="A295" s="40">
        <f>REGISTRO_B.DATOS!A296</f>
        <v>0</v>
      </c>
      <c r="B295" s="41">
        <f>REGISTRO_B.DATOS!B296</f>
        <v>0</v>
      </c>
      <c r="C295" s="41">
        <f>REGISTRO_B.DATOS!C296</f>
        <v>0</v>
      </c>
      <c r="D295" s="41">
        <f>REGISTRO_B.DATOS!D296</f>
        <v>0</v>
      </c>
      <c r="E295" s="42">
        <f>REGISTRO_B.DATOS!E296</f>
        <v>0</v>
      </c>
      <c r="F295" s="41">
        <f>REGISTRO_B.DATOS!F296</f>
        <v>0</v>
      </c>
      <c r="G295" s="41">
        <f>REGISTRO_B.DATOS!G296</f>
        <v>0</v>
      </c>
      <c r="H295" s="41">
        <f>REGISTRO_B.DATOS!H296</f>
        <v>0</v>
      </c>
      <c r="I295" s="41">
        <f>REGISTRO_B.DATOS!I296</f>
        <v>0</v>
      </c>
      <c r="J295" s="41">
        <f>REGISTRO_B.DATOS!J296</f>
        <v>0</v>
      </c>
      <c r="K295" s="43">
        <f>REGISTRO_B.DATOS!K296</f>
        <v>0</v>
      </c>
    </row>
    <row r="296" spans="1:11" x14ac:dyDescent="0.25">
      <c r="A296" s="40">
        <f>REGISTRO_B.DATOS!A297</f>
        <v>0</v>
      </c>
      <c r="B296" s="41">
        <f>REGISTRO_B.DATOS!B297</f>
        <v>0</v>
      </c>
      <c r="C296" s="41">
        <f>REGISTRO_B.DATOS!C297</f>
        <v>0</v>
      </c>
      <c r="D296" s="41">
        <f>REGISTRO_B.DATOS!D297</f>
        <v>0</v>
      </c>
      <c r="E296" s="42">
        <f>REGISTRO_B.DATOS!E297</f>
        <v>0</v>
      </c>
      <c r="F296" s="41">
        <f>REGISTRO_B.DATOS!F297</f>
        <v>0</v>
      </c>
      <c r="G296" s="41">
        <f>REGISTRO_B.DATOS!G297</f>
        <v>0</v>
      </c>
      <c r="H296" s="41">
        <f>REGISTRO_B.DATOS!H297</f>
        <v>0</v>
      </c>
      <c r="I296" s="41">
        <f>REGISTRO_B.DATOS!I297</f>
        <v>0</v>
      </c>
      <c r="J296" s="41">
        <f>REGISTRO_B.DATOS!J297</f>
        <v>0</v>
      </c>
      <c r="K296" s="43">
        <f>REGISTRO_B.DATOS!K297</f>
        <v>0</v>
      </c>
    </row>
    <row r="297" spans="1:11" x14ac:dyDescent="0.25">
      <c r="A297" s="40">
        <f>REGISTRO_B.DATOS!A298</f>
        <v>0</v>
      </c>
      <c r="B297" s="41">
        <f>REGISTRO_B.DATOS!B298</f>
        <v>0</v>
      </c>
      <c r="C297" s="41">
        <f>REGISTRO_B.DATOS!C298</f>
        <v>0</v>
      </c>
      <c r="D297" s="41">
        <f>REGISTRO_B.DATOS!D298</f>
        <v>0</v>
      </c>
      <c r="E297" s="42">
        <f>REGISTRO_B.DATOS!E298</f>
        <v>0</v>
      </c>
      <c r="F297" s="41">
        <f>REGISTRO_B.DATOS!F298</f>
        <v>0</v>
      </c>
      <c r="G297" s="41">
        <f>REGISTRO_B.DATOS!G298</f>
        <v>0</v>
      </c>
      <c r="H297" s="41">
        <f>REGISTRO_B.DATOS!H298</f>
        <v>0</v>
      </c>
      <c r="I297" s="41">
        <f>REGISTRO_B.DATOS!I298</f>
        <v>0</v>
      </c>
      <c r="J297" s="41">
        <f>REGISTRO_B.DATOS!J298</f>
        <v>0</v>
      </c>
      <c r="K297" s="43">
        <f>REGISTRO_B.DATOS!K298</f>
        <v>0</v>
      </c>
    </row>
    <row r="298" spans="1:11" x14ac:dyDescent="0.25">
      <c r="A298" s="40">
        <f>REGISTRO_B.DATOS!A299</f>
        <v>0</v>
      </c>
      <c r="B298" s="41">
        <f>REGISTRO_B.DATOS!B299</f>
        <v>0</v>
      </c>
      <c r="C298" s="41">
        <f>REGISTRO_B.DATOS!C299</f>
        <v>0</v>
      </c>
      <c r="D298" s="41">
        <f>REGISTRO_B.DATOS!D299</f>
        <v>0</v>
      </c>
      <c r="E298" s="42">
        <f>REGISTRO_B.DATOS!E299</f>
        <v>0</v>
      </c>
      <c r="F298" s="41">
        <f>REGISTRO_B.DATOS!F299</f>
        <v>0</v>
      </c>
      <c r="G298" s="41">
        <f>REGISTRO_B.DATOS!G299</f>
        <v>0</v>
      </c>
      <c r="H298" s="41">
        <f>REGISTRO_B.DATOS!H299</f>
        <v>0</v>
      </c>
      <c r="I298" s="41">
        <f>REGISTRO_B.DATOS!I299</f>
        <v>0</v>
      </c>
      <c r="J298" s="41">
        <f>REGISTRO_B.DATOS!J299</f>
        <v>0</v>
      </c>
      <c r="K298" s="43">
        <f>REGISTRO_B.DATOS!K299</f>
        <v>0</v>
      </c>
    </row>
    <row r="299" spans="1:11" x14ac:dyDescent="0.25">
      <c r="A299" s="40">
        <f>REGISTRO_B.DATOS!A300</f>
        <v>0</v>
      </c>
      <c r="B299" s="41">
        <f>REGISTRO_B.DATOS!B300</f>
        <v>0</v>
      </c>
      <c r="C299" s="41">
        <f>REGISTRO_B.DATOS!C300</f>
        <v>0</v>
      </c>
      <c r="D299" s="41">
        <f>REGISTRO_B.DATOS!D300</f>
        <v>0</v>
      </c>
      <c r="E299" s="42">
        <f>REGISTRO_B.DATOS!E300</f>
        <v>0</v>
      </c>
      <c r="F299" s="41">
        <f>REGISTRO_B.DATOS!F300</f>
        <v>0</v>
      </c>
      <c r="G299" s="41">
        <f>REGISTRO_B.DATOS!G300</f>
        <v>0</v>
      </c>
      <c r="H299" s="41">
        <f>REGISTRO_B.DATOS!H300</f>
        <v>0</v>
      </c>
      <c r="I299" s="41">
        <f>REGISTRO_B.DATOS!I300</f>
        <v>0</v>
      </c>
      <c r="J299" s="41">
        <f>REGISTRO_B.DATOS!J300</f>
        <v>0</v>
      </c>
      <c r="K299" s="43">
        <f>REGISTRO_B.DATOS!K300</f>
        <v>0</v>
      </c>
    </row>
    <row r="300" spans="1:11" x14ac:dyDescent="0.25">
      <c r="A300" s="40">
        <f>REGISTRO_B.DATOS!A301</f>
        <v>0</v>
      </c>
      <c r="B300" s="41">
        <f>REGISTRO_B.DATOS!B301</f>
        <v>0</v>
      </c>
      <c r="C300" s="41">
        <f>REGISTRO_B.DATOS!C301</f>
        <v>0</v>
      </c>
      <c r="D300" s="41">
        <f>REGISTRO_B.DATOS!D301</f>
        <v>0</v>
      </c>
      <c r="E300" s="42">
        <f>REGISTRO_B.DATOS!E301</f>
        <v>0</v>
      </c>
      <c r="F300" s="41">
        <f>REGISTRO_B.DATOS!F301</f>
        <v>0</v>
      </c>
      <c r="G300" s="41">
        <f>REGISTRO_B.DATOS!G301</f>
        <v>0</v>
      </c>
      <c r="H300" s="41">
        <f>REGISTRO_B.DATOS!H301</f>
        <v>0</v>
      </c>
      <c r="I300" s="41">
        <f>REGISTRO_B.DATOS!I301</f>
        <v>0</v>
      </c>
      <c r="J300" s="41">
        <f>REGISTRO_B.DATOS!J301</f>
        <v>0</v>
      </c>
      <c r="K300" s="43">
        <f>REGISTRO_B.DATOS!K301</f>
        <v>0</v>
      </c>
    </row>
    <row r="301" spans="1:11" x14ac:dyDescent="0.25">
      <c r="A301" s="40">
        <f>REGISTRO_B.DATOS!A302</f>
        <v>0</v>
      </c>
      <c r="B301" s="41">
        <f>REGISTRO_B.DATOS!B302</f>
        <v>0</v>
      </c>
      <c r="C301" s="41">
        <f>REGISTRO_B.DATOS!C302</f>
        <v>0</v>
      </c>
      <c r="D301" s="41">
        <f>REGISTRO_B.DATOS!D302</f>
        <v>0</v>
      </c>
      <c r="E301" s="42">
        <f>REGISTRO_B.DATOS!E302</f>
        <v>0</v>
      </c>
      <c r="F301" s="41">
        <f>REGISTRO_B.DATOS!F302</f>
        <v>0</v>
      </c>
      <c r="G301" s="41">
        <f>REGISTRO_B.DATOS!G302</f>
        <v>0</v>
      </c>
      <c r="H301" s="41">
        <f>REGISTRO_B.DATOS!H302</f>
        <v>0</v>
      </c>
      <c r="I301" s="41">
        <f>REGISTRO_B.DATOS!I302</f>
        <v>0</v>
      </c>
      <c r="J301" s="41">
        <f>REGISTRO_B.DATOS!J302</f>
        <v>0</v>
      </c>
      <c r="K301" s="43">
        <f>REGISTRO_B.DATOS!K302</f>
        <v>0</v>
      </c>
    </row>
    <row r="302" spans="1:11" x14ac:dyDescent="0.25">
      <c r="A302" s="40">
        <f>REGISTRO_B.DATOS!A303</f>
        <v>0</v>
      </c>
      <c r="B302" s="41">
        <f>REGISTRO_B.DATOS!B303</f>
        <v>0</v>
      </c>
      <c r="C302" s="41">
        <f>REGISTRO_B.DATOS!C303</f>
        <v>0</v>
      </c>
      <c r="D302" s="41">
        <f>REGISTRO_B.DATOS!D303</f>
        <v>0</v>
      </c>
      <c r="E302" s="42">
        <f>REGISTRO_B.DATOS!E303</f>
        <v>0</v>
      </c>
      <c r="F302" s="41">
        <f>REGISTRO_B.DATOS!F303</f>
        <v>0</v>
      </c>
      <c r="G302" s="41">
        <f>REGISTRO_B.DATOS!G303</f>
        <v>0</v>
      </c>
      <c r="H302" s="41">
        <f>REGISTRO_B.DATOS!H303</f>
        <v>0</v>
      </c>
      <c r="I302" s="41">
        <f>REGISTRO_B.DATOS!I303</f>
        <v>0</v>
      </c>
      <c r="J302" s="41">
        <f>REGISTRO_B.DATOS!J303</f>
        <v>0</v>
      </c>
      <c r="K302" s="43">
        <f>REGISTRO_B.DATOS!K303</f>
        <v>0</v>
      </c>
    </row>
    <row r="303" spans="1:11" x14ac:dyDescent="0.25">
      <c r="A303" s="40">
        <f>REGISTRO_B.DATOS!A304</f>
        <v>0</v>
      </c>
      <c r="B303" s="41">
        <f>REGISTRO_B.DATOS!B304</f>
        <v>0</v>
      </c>
      <c r="C303" s="41">
        <f>REGISTRO_B.DATOS!C304</f>
        <v>0</v>
      </c>
      <c r="D303" s="41">
        <f>REGISTRO_B.DATOS!D304</f>
        <v>0</v>
      </c>
      <c r="E303" s="42">
        <f>REGISTRO_B.DATOS!E304</f>
        <v>0</v>
      </c>
      <c r="F303" s="41">
        <f>REGISTRO_B.DATOS!F304</f>
        <v>0</v>
      </c>
      <c r="G303" s="41">
        <f>REGISTRO_B.DATOS!G304</f>
        <v>0</v>
      </c>
      <c r="H303" s="41">
        <f>REGISTRO_B.DATOS!H304</f>
        <v>0</v>
      </c>
      <c r="I303" s="41">
        <f>REGISTRO_B.DATOS!I304</f>
        <v>0</v>
      </c>
      <c r="J303" s="41">
        <f>REGISTRO_B.DATOS!J304</f>
        <v>0</v>
      </c>
      <c r="K303" s="43">
        <f>REGISTRO_B.DATOS!K304</f>
        <v>0</v>
      </c>
    </row>
    <row r="304" spans="1:11" x14ac:dyDescent="0.25">
      <c r="A304" s="40">
        <f>REGISTRO_B.DATOS!A305</f>
        <v>0</v>
      </c>
      <c r="B304" s="41">
        <f>REGISTRO_B.DATOS!B305</f>
        <v>0</v>
      </c>
      <c r="C304" s="41">
        <f>REGISTRO_B.DATOS!C305</f>
        <v>0</v>
      </c>
      <c r="D304" s="41">
        <f>REGISTRO_B.DATOS!D305</f>
        <v>0</v>
      </c>
      <c r="E304" s="42">
        <f>REGISTRO_B.DATOS!E305</f>
        <v>0</v>
      </c>
      <c r="F304" s="41">
        <f>REGISTRO_B.DATOS!F305</f>
        <v>0</v>
      </c>
      <c r="G304" s="41">
        <f>REGISTRO_B.DATOS!G305</f>
        <v>0</v>
      </c>
      <c r="H304" s="41">
        <f>REGISTRO_B.DATOS!H305</f>
        <v>0</v>
      </c>
      <c r="I304" s="41">
        <f>REGISTRO_B.DATOS!I305</f>
        <v>0</v>
      </c>
      <c r="J304" s="41">
        <f>REGISTRO_B.DATOS!J305</f>
        <v>0</v>
      </c>
      <c r="K304" s="43">
        <f>REGISTRO_B.DATOS!K305</f>
        <v>0</v>
      </c>
    </row>
    <row r="305" spans="1:11" x14ac:dyDescent="0.25">
      <c r="A305" s="40">
        <f>REGISTRO_B.DATOS!A306</f>
        <v>0</v>
      </c>
      <c r="B305" s="41">
        <f>REGISTRO_B.DATOS!B306</f>
        <v>0</v>
      </c>
      <c r="C305" s="41">
        <f>REGISTRO_B.DATOS!C306</f>
        <v>0</v>
      </c>
      <c r="D305" s="41">
        <f>REGISTRO_B.DATOS!D306</f>
        <v>0</v>
      </c>
      <c r="E305" s="42">
        <f>REGISTRO_B.DATOS!E306</f>
        <v>0</v>
      </c>
      <c r="F305" s="41">
        <f>REGISTRO_B.DATOS!F306</f>
        <v>0</v>
      </c>
      <c r="G305" s="41">
        <f>REGISTRO_B.DATOS!G306</f>
        <v>0</v>
      </c>
      <c r="H305" s="41">
        <f>REGISTRO_B.DATOS!H306</f>
        <v>0</v>
      </c>
      <c r="I305" s="41">
        <f>REGISTRO_B.DATOS!I306</f>
        <v>0</v>
      </c>
      <c r="J305" s="41">
        <f>REGISTRO_B.DATOS!J306</f>
        <v>0</v>
      </c>
      <c r="K305" s="43">
        <f>REGISTRO_B.DATOS!K306</f>
        <v>0</v>
      </c>
    </row>
    <row r="306" spans="1:11" x14ac:dyDescent="0.25">
      <c r="A306" s="40">
        <f>REGISTRO_B.DATOS!A307</f>
        <v>0</v>
      </c>
      <c r="B306" s="41">
        <f>REGISTRO_B.DATOS!B307</f>
        <v>0</v>
      </c>
      <c r="C306" s="41">
        <f>REGISTRO_B.DATOS!C307</f>
        <v>0</v>
      </c>
      <c r="D306" s="41">
        <f>REGISTRO_B.DATOS!D307</f>
        <v>0</v>
      </c>
      <c r="E306" s="42">
        <f>REGISTRO_B.DATOS!E307</f>
        <v>0</v>
      </c>
      <c r="F306" s="41">
        <f>REGISTRO_B.DATOS!F307</f>
        <v>0</v>
      </c>
      <c r="G306" s="41">
        <f>REGISTRO_B.DATOS!G307</f>
        <v>0</v>
      </c>
      <c r="H306" s="41">
        <f>REGISTRO_B.DATOS!H307</f>
        <v>0</v>
      </c>
      <c r="I306" s="41">
        <f>REGISTRO_B.DATOS!I307</f>
        <v>0</v>
      </c>
      <c r="J306" s="41">
        <f>REGISTRO_B.DATOS!J307</f>
        <v>0</v>
      </c>
      <c r="K306" s="43">
        <f>REGISTRO_B.DATOS!K307</f>
        <v>0</v>
      </c>
    </row>
    <row r="307" spans="1:11" x14ac:dyDescent="0.25">
      <c r="A307" s="40">
        <f>REGISTRO_B.DATOS!A308</f>
        <v>0</v>
      </c>
      <c r="B307" s="41">
        <f>REGISTRO_B.DATOS!B308</f>
        <v>0</v>
      </c>
      <c r="C307" s="41">
        <f>REGISTRO_B.DATOS!C308</f>
        <v>0</v>
      </c>
      <c r="D307" s="41">
        <f>REGISTRO_B.DATOS!D308</f>
        <v>0</v>
      </c>
      <c r="E307" s="42">
        <f>REGISTRO_B.DATOS!E308</f>
        <v>0</v>
      </c>
      <c r="F307" s="41">
        <f>REGISTRO_B.DATOS!F308</f>
        <v>0</v>
      </c>
      <c r="G307" s="41">
        <f>REGISTRO_B.DATOS!G308</f>
        <v>0</v>
      </c>
      <c r="H307" s="41">
        <f>REGISTRO_B.DATOS!H308</f>
        <v>0</v>
      </c>
      <c r="I307" s="41">
        <f>REGISTRO_B.DATOS!I308</f>
        <v>0</v>
      </c>
      <c r="J307" s="41">
        <f>REGISTRO_B.DATOS!J308</f>
        <v>0</v>
      </c>
      <c r="K307" s="43">
        <f>REGISTRO_B.DATOS!K308</f>
        <v>0</v>
      </c>
    </row>
    <row r="308" spans="1:11" x14ac:dyDescent="0.25">
      <c r="A308" s="40">
        <f>REGISTRO_B.DATOS!A309</f>
        <v>0</v>
      </c>
      <c r="B308" s="41">
        <f>REGISTRO_B.DATOS!B309</f>
        <v>0</v>
      </c>
      <c r="C308" s="41">
        <f>REGISTRO_B.DATOS!C309</f>
        <v>0</v>
      </c>
      <c r="D308" s="41">
        <f>REGISTRO_B.DATOS!D309</f>
        <v>0</v>
      </c>
      <c r="E308" s="42">
        <f>REGISTRO_B.DATOS!E309</f>
        <v>0</v>
      </c>
      <c r="F308" s="41">
        <f>REGISTRO_B.DATOS!F309</f>
        <v>0</v>
      </c>
      <c r="G308" s="41">
        <f>REGISTRO_B.DATOS!G309</f>
        <v>0</v>
      </c>
      <c r="H308" s="41">
        <f>REGISTRO_B.DATOS!H309</f>
        <v>0</v>
      </c>
      <c r="I308" s="41">
        <f>REGISTRO_B.DATOS!I309</f>
        <v>0</v>
      </c>
      <c r="J308" s="41">
        <f>REGISTRO_B.DATOS!J309</f>
        <v>0</v>
      </c>
      <c r="K308" s="43">
        <f>REGISTRO_B.DATOS!K309</f>
        <v>0</v>
      </c>
    </row>
    <row r="309" spans="1:11" x14ac:dyDescent="0.25">
      <c r="A309" s="40">
        <f>REGISTRO_B.DATOS!A310</f>
        <v>0</v>
      </c>
      <c r="B309" s="41">
        <f>REGISTRO_B.DATOS!B310</f>
        <v>0</v>
      </c>
      <c r="C309" s="41">
        <f>REGISTRO_B.DATOS!C310</f>
        <v>0</v>
      </c>
      <c r="D309" s="41">
        <f>REGISTRO_B.DATOS!D310</f>
        <v>0</v>
      </c>
      <c r="E309" s="42">
        <f>REGISTRO_B.DATOS!E310</f>
        <v>0</v>
      </c>
      <c r="F309" s="41">
        <f>REGISTRO_B.DATOS!F310</f>
        <v>0</v>
      </c>
      <c r="G309" s="41">
        <f>REGISTRO_B.DATOS!G310</f>
        <v>0</v>
      </c>
      <c r="H309" s="41">
        <f>REGISTRO_B.DATOS!H310</f>
        <v>0</v>
      </c>
      <c r="I309" s="41">
        <f>REGISTRO_B.DATOS!I310</f>
        <v>0</v>
      </c>
      <c r="J309" s="41">
        <f>REGISTRO_B.DATOS!J310</f>
        <v>0</v>
      </c>
      <c r="K309" s="43">
        <f>REGISTRO_B.DATOS!K310</f>
        <v>0</v>
      </c>
    </row>
    <row r="310" spans="1:11" x14ac:dyDescent="0.25">
      <c r="A310" s="40">
        <f>REGISTRO_B.DATOS!A311</f>
        <v>0</v>
      </c>
      <c r="B310" s="41">
        <f>REGISTRO_B.DATOS!B311</f>
        <v>0</v>
      </c>
      <c r="C310" s="41">
        <f>REGISTRO_B.DATOS!C311</f>
        <v>0</v>
      </c>
      <c r="D310" s="41">
        <f>REGISTRO_B.DATOS!D311</f>
        <v>0</v>
      </c>
      <c r="E310" s="42">
        <f>REGISTRO_B.DATOS!E311</f>
        <v>0</v>
      </c>
      <c r="F310" s="41">
        <f>REGISTRO_B.DATOS!F311</f>
        <v>0</v>
      </c>
      <c r="G310" s="41">
        <f>REGISTRO_B.DATOS!G311</f>
        <v>0</v>
      </c>
      <c r="H310" s="41">
        <f>REGISTRO_B.DATOS!H311</f>
        <v>0</v>
      </c>
      <c r="I310" s="41">
        <f>REGISTRO_B.DATOS!I311</f>
        <v>0</v>
      </c>
      <c r="J310" s="41">
        <f>REGISTRO_B.DATOS!J311</f>
        <v>0</v>
      </c>
      <c r="K310" s="43">
        <f>REGISTRO_B.DATOS!K311</f>
        <v>0</v>
      </c>
    </row>
    <row r="311" spans="1:11" x14ac:dyDescent="0.25">
      <c r="A311" s="40">
        <f>REGISTRO_B.DATOS!A312</f>
        <v>0</v>
      </c>
      <c r="B311" s="41">
        <f>REGISTRO_B.DATOS!B312</f>
        <v>0</v>
      </c>
      <c r="C311" s="41">
        <f>REGISTRO_B.DATOS!C312</f>
        <v>0</v>
      </c>
      <c r="D311" s="41">
        <f>REGISTRO_B.DATOS!D312</f>
        <v>0</v>
      </c>
      <c r="E311" s="42">
        <f>REGISTRO_B.DATOS!E312</f>
        <v>0</v>
      </c>
      <c r="F311" s="41">
        <f>REGISTRO_B.DATOS!F312</f>
        <v>0</v>
      </c>
      <c r="G311" s="41">
        <f>REGISTRO_B.DATOS!G312</f>
        <v>0</v>
      </c>
      <c r="H311" s="41">
        <f>REGISTRO_B.DATOS!H312</f>
        <v>0</v>
      </c>
      <c r="I311" s="41">
        <f>REGISTRO_B.DATOS!I312</f>
        <v>0</v>
      </c>
      <c r="J311" s="41">
        <f>REGISTRO_B.DATOS!J312</f>
        <v>0</v>
      </c>
      <c r="K311" s="43">
        <f>REGISTRO_B.DATOS!K312</f>
        <v>0</v>
      </c>
    </row>
    <row r="312" spans="1:11" x14ac:dyDescent="0.25">
      <c r="A312" s="40">
        <f>REGISTRO_B.DATOS!A313</f>
        <v>0</v>
      </c>
      <c r="B312" s="41">
        <f>REGISTRO_B.DATOS!B313</f>
        <v>0</v>
      </c>
      <c r="C312" s="41">
        <f>REGISTRO_B.DATOS!C313</f>
        <v>0</v>
      </c>
      <c r="D312" s="41">
        <f>REGISTRO_B.DATOS!D313</f>
        <v>0</v>
      </c>
      <c r="E312" s="42">
        <f>REGISTRO_B.DATOS!E313</f>
        <v>0</v>
      </c>
      <c r="F312" s="41">
        <f>REGISTRO_B.DATOS!F313</f>
        <v>0</v>
      </c>
      <c r="G312" s="41">
        <f>REGISTRO_B.DATOS!G313</f>
        <v>0</v>
      </c>
      <c r="H312" s="41">
        <f>REGISTRO_B.DATOS!H313</f>
        <v>0</v>
      </c>
      <c r="I312" s="41">
        <f>REGISTRO_B.DATOS!I313</f>
        <v>0</v>
      </c>
      <c r="J312" s="41">
        <f>REGISTRO_B.DATOS!J313</f>
        <v>0</v>
      </c>
      <c r="K312" s="43">
        <f>REGISTRO_B.DATOS!K313</f>
        <v>0</v>
      </c>
    </row>
    <row r="313" spans="1:11" x14ac:dyDescent="0.25">
      <c r="A313" s="40">
        <f>REGISTRO_B.DATOS!A314</f>
        <v>0</v>
      </c>
      <c r="B313" s="41">
        <f>REGISTRO_B.DATOS!B314</f>
        <v>0</v>
      </c>
      <c r="C313" s="41">
        <f>REGISTRO_B.DATOS!C314</f>
        <v>0</v>
      </c>
      <c r="D313" s="41">
        <f>REGISTRO_B.DATOS!D314</f>
        <v>0</v>
      </c>
      <c r="E313" s="42">
        <f>REGISTRO_B.DATOS!E314</f>
        <v>0</v>
      </c>
      <c r="F313" s="41">
        <f>REGISTRO_B.DATOS!F314</f>
        <v>0</v>
      </c>
      <c r="G313" s="41">
        <f>REGISTRO_B.DATOS!G314</f>
        <v>0</v>
      </c>
      <c r="H313" s="41">
        <f>REGISTRO_B.DATOS!H314</f>
        <v>0</v>
      </c>
      <c r="I313" s="41">
        <f>REGISTRO_B.DATOS!I314</f>
        <v>0</v>
      </c>
      <c r="J313" s="41">
        <f>REGISTRO_B.DATOS!J314</f>
        <v>0</v>
      </c>
      <c r="K313" s="43">
        <f>REGISTRO_B.DATOS!K314</f>
        <v>0</v>
      </c>
    </row>
    <row r="314" spans="1:11" x14ac:dyDescent="0.25">
      <c r="A314" s="40">
        <f>REGISTRO_B.DATOS!A315</f>
        <v>0</v>
      </c>
      <c r="B314" s="41">
        <f>REGISTRO_B.DATOS!B315</f>
        <v>0</v>
      </c>
      <c r="C314" s="41">
        <f>REGISTRO_B.DATOS!C315</f>
        <v>0</v>
      </c>
      <c r="D314" s="41">
        <f>REGISTRO_B.DATOS!D315</f>
        <v>0</v>
      </c>
      <c r="E314" s="42">
        <f>REGISTRO_B.DATOS!E315</f>
        <v>0</v>
      </c>
      <c r="F314" s="41">
        <f>REGISTRO_B.DATOS!F315</f>
        <v>0</v>
      </c>
      <c r="G314" s="41">
        <f>REGISTRO_B.DATOS!G315</f>
        <v>0</v>
      </c>
      <c r="H314" s="41">
        <f>REGISTRO_B.DATOS!H315</f>
        <v>0</v>
      </c>
      <c r="I314" s="41">
        <f>REGISTRO_B.DATOS!I315</f>
        <v>0</v>
      </c>
      <c r="J314" s="41">
        <f>REGISTRO_B.DATOS!J315</f>
        <v>0</v>
      </c>
      <c r="K314" s="43">
        <f>REGISTRO_B.DATOS!K315</f>
        <v>0</v>
      </c>
    </row>
    <row r="315" spans="1:11" x14ac:dyDescent="0.25">
      <c r="A315" s="40">
        <f>REGISTRO_B.DATOS!A316</f>
        <v>0</v>
      </c>
      <c r="B315" s="41">
        <f>REGISTRO_B.DATOS!B316</f>
        <v>0</v>
      </c>
      <c r="C315" s="41">
        <f>REGISTRO_B.DATOS!C316</f>
        <v>0</v>
      </c>
      <c r="D315" s="41">
        <f>REGISTRO_B.DATOS!D316</f>
        <v>0</v>
      </c>
      <c r="E315" s="42">
        <f>REGISTRO_B.DATOS!E316</f>
        <v>0</v>
      </c>
      <c r="F315" s="41">
        <f>REGISTRO_B.DATOS!F316</f>
        <v>0</v>
      </c>
      <c r="G315" s="41">
        <f>REGISTRO_B.DATOS!G316</f>
        <v>0</v>
      </c>
      <c r="H315" s="41">
        <f>REGISTRO_B.DATOS!H316</f>
        <v>0</v>
      </c>
      <c r="I315" s="41">
        <f>REGISTRO_B.DATOS!I316</f>
        <v>0</v>
      </c>
      <c r="J315" s="41">
        <f>REGISTRO_B.DATOS!J316</f>
        <v>0</v>
      </c>
      <c r="K315" s="43">
        <f>REGISTRO_B.DATOS!K316</f>
        <v>0</v>
      </c>
    </row>
    <row r="316" spans="1:11" x14ac:dyDescent="0.25">
      <c r="A316" s="40">
        <f>REGISTRO_B.DATOS!A317</f>
        <v>0</v>
      </c>
      <c r="B316" s="41">
        <f>REGISTRO_B.DATOS!B317</f>
        <v>0</v>
      </c>
      <c r="C316" s="41">
        <f>REGISTRO_B.DATOS!C317</f>
        <v>0</v>
      </c>
      <c r="D316" s="41">
        <f>REGISTRO_B.DATOS!D317</f>
        <v>0</v>
      </c>
      <c r="E316" s="42">
        <f>REGISTRO_B.DATOS!E317</f>
        <v>0</v>
      </c>
      <c r="F316" s="41">
        <f>REGISTRO_B.DATOS!F317</f>
        <v>0</v>
      </c>
      <c r="G316" s="41">
        <f>REGISTRO_B.DATOS!G317</f>
        <v>0</v>
      </c>
      <c r="H316" s="41">
        <f>REGISTRO_B.DATOS!H317</f>
        <v>0</v>
      </c>
      <c r="I316" s="41">
        <f>REGISTRO_B.DATOS!I317</f>
        <v>0</v>
      </c>
      <c r="J316" s="41">
        <f>REGISTRO_B.DATOS!J317</f>
        <v>0</v>
      </c>
      <c r="K316" s="43">
        <f>REGISTRO_B.DATOS!K317</f>
        <v>0</v>
      </c>
    </row>
    <row r="317" spans="1:11" x14ac:dyDescent="0.25">
      <c r="A317" s="40">
        <f>REGISTRO_B.DATOS!A318</f>
        <v>0</v>
      </c>
      <c r="B317" s="41">
        <f>REGISTRO_B.DATOS!B318</f>
        <v>0</v>
      </c>
      <c r="C317" s="41">
        <f>REGISTRO_B.DATOS!C318</f>
        <v>0</v>
      </c>
      <c r="D317" s="41">
        <f>REGISTRO_B.DATOS!D318</f>
        <v>0</v>
      </c>
      <c r="E317" s="42">
        <f>REGISTRO_B.DATOS!E318</f>
        <v>0</v>
      </c>
      <c r="F317" s="41">
        <f>REGISTRO_B.DATOS!F318</f>
        <v>0</v>
      </c>
      <c r="G317" s="41">
        <f>REGISTRO_B.DATOS!G318</f>
        <v>0</v>
      </c>
      <c r="H317" s="41">
        <f>REGISTRO_B.DATOS!H318</f>
        <v>0</v>
      </c>
      <c r="I317" s="41">
        <f>REGISTRO_B.DATOS!I318</f>
        <v>0</v>
      </c>
      <c r="J317" s="41">
        <f>REGISTRO_B.DATOS!J318</f>
        <v>0</v>
      </c>
      <c r="K317" s="43">
        <f>REGISTRO_B.DATOS!K318</f>
        <v>0</v>
      </c>
    </row>
    <row r="318" spans="1:11" x14ac:dyDescent="0.25">
      <c r="A318" s="40">
        <f>REGISTRO_B.DATOS!A319</f>
        <v>0</v>
      </c>
      <c r="B318" s="41">
        <f>REGISTRO_B.DATOS!B319</f>
        <v>0</v>
      </c>
      <c r="C318" s="41">
        <f>REGISTRO_B.DATOS!C319</f>
        <v>0</v>
      </c>
      <c r="D318" s="41">
        <f>REGISTRO_B.DATOS!D319</f>
        <v>0</v>
      </c>
      <c r="E318" s="42">
        <f>REGISTRO_B.DATOS!E319</f>
        <v>0</v>
      </c>
      <c r="F318" s="41">
        <f>REGISTRO_B.DATOS!F319</f>
        <v>0</v>
      </c>
      <c r="G318" s="41">
        <f>REGISTRO_B.DATOS!G319</f>
        <v>0</v>
      </c>
      <c r="H318" s="41">
        <f>REGISTRO_B.DATOS!H319</f>
        <v>0</v>
      </c>
      <c r="I318" s="41">
        <f>REGISTRO_B.DATOS!I319</f>
        <v>0</v>
      </c>
      <c r="J318" s="41">
        <f>REGISTRO_B.DATOS!J319</f>
        <v>0</v>
      </c>
      <c r="K318" s="43">
        <f>REGISTRO_B.DATOS!K319</f>
        <v>0</v>
      </c>
    </row>
    <row r="319" spans="1:11" x14ac:dyDescent="0.25">
      <c r="A319" s="40">
        <f>REGISTRO_B.DATOS!A320</f>
        <v>0</v>
      </c>
      <c r="B319" s="41">
        <f>REGISTRO_B.DATOS!B320</f>
        <v>0</v>
      </c>
      <c r="C319" s="41">
        <f>REGISTRO_B.DATOS!C320</f>
        <v>0</v>
      </c>
      <c r="D319" s="41">
        <f>REGISTRO_B.DATOS!D320</f>
        <v>0</v>
      </c>
      <c r="E319" s="42">
        <f>REGISTRO_B.DATOS!E320</f>
        <v>0</v>
      </c>
      <c r="F319" s="41">
        <f>REGISTRO_B.DATOS!F320</f>
        <v>0</v>
      </c>
      <c r="G319" s="41">
        <f>REGISTRO_B.DATOS!G320</f>
        <v>0</v>
      </c>
      <c r="H319" s="41">
        <f>REGISTRO_B.DATOS!H320</f>
        <v>0</v>
      </c>
      <c r="I319" s="41">
        <f>REGISTRO_B.DATOS!I320</f>
        <v>0</v>
      </c>
      <c r="J319" s="41">
        <f>REGISTRO_B.DATOS!J320</f>
        <v>0</v>
      </c>
      <c r="K319" s="43">
        <f>REGISTRO_B.DATOS!K320</f>
        <v>0</v>
      </c>
    </row>
    <row r="320" spans="1:11" x14ac:dyDescent="0.25">
      <c r="A320" s="40">
        <f>REGISTRO_B.DATOS!A321</f>
        <v>0</v>
      </c>
      <c r="B320" s="41">
        <f>REGISTRO_B.DATOS!B321</f>
        <v>0</v>
      </c>
      <c r="C320" s="41">
        <f>REGISTRO_B.DATOS!C321</f>
        <v>0</v>
      </c>
      <c r="D320" s="41">
        <f>REGISTRO_B.DATOS!D321</f>
        <v>0</v>
      </c>
      <c r="E320" s="42">
        <f>REGISTRO_B.DATOS!E321</f>
        <v>0</v>
      </c>
      <c r="F320" s="41">
        <f>REGISTRO_B.DATOS!F321</f>
        <v>0</v>
      </c>
      <c r="G320" s="41">
        <f>REGISTRO_B.DATOS!G321</f>
        <v>0</v>
      </c>
      <c r="H320" s="41">
        <f>REGISTRO_B.DATOS!H321</f>
        <v>0</v>
      </c>
      <c r="I320" s="41">
        <f>REGISTRO_B.DATOS!I321</f>
        <v>0</v>
      </c>
      <c r="J320" s="41">
        <f>REGISTRO_B.DATOS!J321</f>
        <v>0</v>
      </c>
      <c r="K320" s="43">
        <f>REGISTRO_B.DATOS!K321</f>
        <v>0</v>
      </c>
    </row>
    <row r="321" spans="1:11" x14ac:dyDescent="0.25">
      <c r="A321" s="40">
        <f>REGISTRO_B.DATOS!A322</f>
        <v>0</v>
      </c>
      <c r="B321" s="41">
        <f>REGISTRO_B.DATOS!B322</f>
        <v>0</v>
      </c>
      <c r="C321" s="41">
        <f>REGISTRO_B.DATOS!C322</f>
        <v>0</v>
      </c>
      <c r="D321" s="41">
        <f>REGISTRO_B.DATOS!D322</f>
        <v>0</v>
      </c>
      <c r="E321" s="42">
        <f>REGISTRO_B.DATOS!E322</f>
        <v>0</v>
      </c>
      <c r="F321" s="41">
        <f>REGISTRO_B.DATOS!F322</f>
        <v>0</v>
      </c>
      <c r="G321" s="41">
        <f>REGISTRO_B.DATOS!G322</f>
        <v>0</v>
      </c>
      <c r="H321" s="41">
        <f>REGISTRO_B.DATOS!H322</f>
        <v>0</v>
      </c>
      <c r="I321" s="41">
        <f>REGISTRO_B.DATOS!I322</f>
        <v>0</v>
      </c>
      <c r="J321" s="41">
        <f>REGISTRO_B.DATOS!J322</f>
        <v>0</v>
      </c>
      <c r="K321" s="43">
        <f>REGISTRO_B.DATOS!K322</f>
        <v>0</v>
      </c>
    </row>
    <row r="322" spans="1:11" x14ac:dyDescent="0.25">
      <c r="A322" s="40">
        <f>REGISTRO_B.DATOS!A323</f>
        <v>0</v>
      </c>
      <c r="B322" s="41">
        <f>REGISTRO_B.DATOS!B323</f>
        <v>0</v>
      </c>
      <c r="C322" s="41">
        <f>REGISTRO_B.DATOS!C323</f>
        <v>0</v>
      </c>
      <c r="D322" s="41">
        <f>REGISTRO_B.DATOS!D323</f>
        <v>0</v>
      </c>
      <c r="E322" s="42">
        <f>REGISTRO_B.DATOS!E323</f>
        <v>0</v>
      </c>
      <c r="F322" s="41">
        <f>REGISTRO_B.DATOS!F323</f>
        <v>0</v>
      </c>
      <c r="G322" s="41">
        <f>REGISTRO_B.DATOS!G323</f>
        <v>0</v>
      </c>
      <c r="H322" s="41">
        <f>REGISTRO_B.DATOS!H323</f>
        <v>0</v>
      </c>
      <c r="I322" s="41">
        <f>REGISTRO_B.DATOS!I323</f>
        <v>0</v>
      </c>
      <c r="J322" s="41">
        <f>REGISTRO_B.DATOS!J323</f>
        <v>0</v>
      </c>
      <c r="K322" s="43">
        <f>REGISTRO_B.DATOS!K323</f>
        <v>0</v>
      </c>
    </row>
    <row r="323" spans="1:11" x14ac:dyDescent="0.25">
      <c r="A323" s="40">
        <f>REGISTRO_B.DATOS!A324</f>
        <v>0</v>
      </c>
      <c r="B323" s="41">
        <f>REGISTRO_B.DATOS!B324</f>
        <v>0</v>
      </c>
      <c r="C323" s="41">
        <f>REGISTRO_B.DATOS!C324</f>
        <v>0</v>
      </c>
      <c r="D323" s="41">
        <f>REGISTRO_B.DATOS!D324</f>
        <v>0</v>
      </c>
      <c r="E323" s="42">
        <f>REGISTRO_B.DATOS!E324</f>
        <v>0</v>
      </c>
      <c r="F323" s="41">
        <f>REGISTRO_B.DATOS!F324</f>
        <v>0</v>
      </c>
      <c r="G323" s="41">
        <f>REGISTRO_B.DATOS!G324</f>
        <v>0</v>
      </c>
      <c r="H323" s="41">
        <f>REGISTRO_B.DATOS!H324</f>
        <v>0</v>
      </c>
      <c r="I323" s="41">
        <f>REGISTRO_B.DATOS!I324</f>
        <v>0</v>
      </c>
      <c r="J323" s="41">
        <f>REGISTRO_B.DATOS!J324</f>
        <v>0</v>
      </c>
      <c r="K323" s="43">
        <f>REGISTRO_B.DATOS!K324</f>
        <v>0</v>
      </c>
    </row>
    <row r="324" spans="1:11" x14ac:dyDescent="0.25">
      <c r="A324" s="40">
        <f>REGISTRO_B.DATOS!A325</f>
        <v>0</v>
      </c>
      <c r="B324" s="41">
        <f>REGISTRO_B.DATOS!B325</f>
        <v>0</v>
      </c>
      <c r="C324" s="41">
        <f>REGISTRO_B.DATOS!C325</f>
        <v>0</v>
      </c>
      <c r="D324" s="41">
        <f>REGISTRO_B.DATOS!D325</f>
        <v>0</v>
      </c>
      <c r="E324" s="42">
        <f>REGISTRO_B.DATOS!E325</f>
        <v>0</v>
      </c>
      <c r="F324" s="41">
        <f>REGISTRO_B.DATOS!F325</f>
        <v>0</v>
      </c>
      <c r="G324" s="41">
        <f>REGISTRO_B.DATOS!G325</f>
        <v>0</v>
      </c>
      <c r="H324" s="41">
        <f>REGISTRO_B.DATOS!H325</f>
        <v>0</v>
      </c>
      <c r="I324" s="41">
        <f>REGISTRO_B.DATOS!I325</f>
        <v>0</v>
      </c>
      <c r="J324" s="41">
        <f>REGISTRO_B.DATOS!J325</f>
        <v>0</v>
      </c>
      <c r="K324" s="43">
        <f>REGISTRO_B.DATOS!K325</f>
        <v>0</v>
      </c>
    </row>
    <row r="325" spans="1:11" x14ac:dyDescent="0.25">
      <c r="A325" s="40">
        <f>REGISTRO_B.DATOS!A326</f>
        <v>0</v>
      </c>
      <c r="B325" s="41">
        <f>REGISTRO_B.DATOS!B326</f>
        <v>0</v>
      </c>
      <c r="C325" s="41">
        <f>REGISTRO_B.DATOS!C326</f>
        <v>0</v>
      </c>
      <c r="D325" s="41">
        <f>REGISTRO_B.DATOS!D326</f>
        <v>0</v>
      </c>
      <c r="E325" s="42">
        <f>REGISTRO_B.DATOS!E326</f>
        <v>0</v>
      </c>
      <c r="F325" s="41">
        <f>REGISTRO_B.DATOS!F326</f>
        <v>0</v>
      </c>
      <c r="G325" s="41">
        <f>REGISTRO_B.DATOS!G326</f>
        <v>0</v>
      </c>
      <c r="H325" s="41">
        <f>REGISTRO_B.DATOS!H326</f>
        <v>0</v>
      </c>
      <c r="I325" s="41">
        <f>REGISTRO_B.DATOS!I326</f>
        <v>0</v>
      </c>
      <c r="J325" s="41">
        <f>REGISTRO_B.DATOS!J326</f>
        <v>0</v>
      </c>
      <c r="K325" s="43">
        <f>REGISTRO_B.DATOS!K326</f>
        <v>0</v>
      </c>
    </row>
    <row r="326" spans="1:11" x14ac:dyDescent="0.25">
      <c r="A326" s="40">
        <f>REGISTRO_B.DATOS!A327</f>
        <v>0</v>
      </c>
      <c r="B326" s="41">
        <f>REGISTRO_B.DATOS!B327</f>
        <v>0</v>
      </c>
      <c r="C326" s="41">
        <f>REGISTRO_B.DATOS!C327</f>
        <v>0</v>
      </c>
      <c r="D326" s="41">
        <f>REGISTRO_B.DATOS!D327</f>
        <v>0</v>
      </c>
      <c r="E326" s="42">
        <f>REGISTRO_B.DATOS!E327</f>
        <v>0</v>
      </c>
      <c r="F326" s="41">
        <f>REGISTRO_B.DATOS!F327</f>
        <v>0</v>
      </c>
      <c r="G326" s="41">
        <f>REGISTRO_B.DATOS!G327</f>
        <v>0</v>
      </c>
      <c r="H326" s="41">
        <f>REGISTRO_B.DATOS!H327</f>
        <v>0</v>
      </c>
      <c r="I326" s="41">
        <f>REGISTRO_B.DATOS!I327</f>
        <v>0</v>
      </c>
      <c r="J326" s="41">
        <f>REGISTRO_B.DATOS!J327</f>
        <v>0</v>
      </c>
      <c r="K326" s="43">
        <f>REGISTRO_B.DATOS!K327</f>
        <v>0</v>
      </c>
    </row>
    <row r="327" spans="1:11" x14ac:dyDescent="0.25">
      <c r="A327" s="40">
        <f>REGISTRO_B.DATOS!A328</f>
        <v>0</v>
      </c>
      <c r="B327" s="41">
        <f>REGISTRO_B.DATOS!B328</f>
        <v>0</v>
      </c>
      <c r="C327" s="41">
        <f>REGISTRO_B.DATOS!C328</f>
        <v>0</v>
      </c>
      <c r="D327" s="41">
        <f>REGISTRO_B.DATOS!D328</f>
        <v>0</v>
      </c>
      <c r="E327" s="42">
        <f>REGISTRO_B.DATOS!E328</f>
        <v>0</v>
      </c>
      <c r="F327" s="41">
        <f>REGISTRO_B.DATOS!F328</f>
        <v>0</v>
      </c>
      <c r="G327" s="41">
        <f>REGISTRO_B.DATOS!G328</f>
        <v>0</v>
      </c>
      <c r="H327" s="41">
        <f>REGISTRO_B.DATOS!H328</f>
        <v>0</v>
      </c>
      <c r="I327" s="41">
        <f>REGISTRO_B.DATOS!I328</f>
        <v>0</v>
      </c>
      <c r="J327" s="41">
        <f>REGISTRO_B.DATOS!J328</f>
        <v>0</v>
      </c>
      <c r="K327" s="43">
        <f>REGISTRO_B.DATOS!K328</f>
        <v>0</v>
      </c>
    </row>
    <row r="328" spans="1:11" x14ac:dyDescent="0.25">
      <c r="A328" s="40">
        <f>REGISTRO_B.DATOS!A329</f>
        <v>0</v>
      </c>
      <c r="B328" s="41">
        <f>REGISTRO_B.DATOS!B329</f>
        <v>0</v>
      </c>
      <c r="C328" s="41">
        <f>REGISTRO_B.DATOS!C329</f>
        <v>0</v>
      </c>
      <c r="D328" s="41">
        <f>REGISTRO_B.DATOS!D329</f>
        <v>0</v>
      </c>
      <c r="E328" s="42">
        <f>REGISTRO_B.DATOS!E329</f>
        <v>0</v>
      </c>
      <c r="F328" s="41">
        <f>REGISTRO_B.DATOS!F329</f>
        <v>0</v>
      </c>
      <c r="G328" s="41">
        <f>REGISTRO_B.DATOS!G329</f>
        <v>0</v>
      </c>
      <c r="H328" s="41">
        <f>REGISTRO_B.DATOS!H329</f>
        <v>0</v>
      </c>
      <c r="I328" s="41">
        <f>REGISTRO_B.DATOS!I329</f>
        <v>0</v>
      </c>
      <c r="J328" s="41">
        <f>REGISTRO_B.DATOS!J329</f>
        <v>0</v>
      </c>
      <c r="K328" s="43">
        <f>REGISTRO_B.DATOS!K329</f>
        <v>0</v>
      </c>
    </row>
    <row r="329" spans="1:11" x14ac:dyDescent="0.25">
      <c r="A329" s="40">
        <f>REGISTRO_B.DATOS!A330</f>
        <v>0</v>
      </c>
      <c r="B329" s="41">
        <f>REGISTRO_B.DATOS!B330</f>
        <v>0</v>
      </c>
      <c r="C329" s="41">
        <f>REGISTRO_B.DATOS!C330</f>
        <v>0</v>
      </c>
      <c r="D329" s="41">
        <f>REGISTRO_B.DATOS!D330</f>
        <v>0</v>
      </c>
      <c r="E329" s="42">
        <f>REGISTRO_B.DATOS!E330</f>
        <v>0</v>
      </c>
      <c r="F329" s="41">
        <f>REGISTRO_B.DATOS!F330</f>
        <v>0</v>
      </c>
      <c r="G329" s="41">
        <f>REGISTRO_B.DATOS!G330</f>
        <v>0</v>
      </c>
      <c r="H329" s="41">
        <f>REGISTRO_B.DATOS!H330</f>
        <v>0</v>
      </c>
      <c r="I329" s="41">
        <f>REGISTRO_B.DATOS!I330</f>
        <v>0</v>
      </c>
      <c r="J329" s="41">
        <f>REGISTRO_B.DATOS!J330</f>
        <v>0</v>
      </c>
      <c r="K329" s="43">
        <f>REGISTRO_B.DATOS!K330</f>
        <v>0</v>
      </c>
    </row>
    <row r="330" spans="1:11" x14ac:dyDescent="0.25">
      <c r="A330" s="40">
        <f>REGISTRO_B.DATOS!A331</f>
        <v>0</v>
      </c>
      <c r="B330" s="41">
        <f>REGISTRO_B.DATOS!B331</f>
        <v>0</v>
      </c>
      <c r="C330" s="41">
        <f>REGISTRO_B.DATOS!C331</f>
        <v>0</v>
      </c>
      <c r="D330" s="41">
        <f>REGISTRO_B.DATOS!D331</f>
        <v>0</v>
      </c>
      <c r="E330" s="42">
        <f>REGISTRO_B.DATOS!E331</f>
        <v>0</v>
      </c>
      <c r="F330" s="41">
        <f>REGISTRO_B.DATOS!F331</f>
        <v>0</v>
      </c>
      <c r="G330" s="41">
        <f>REGISTRO_B.DATOS!G331</f>
        <v>0</v>
      </c>
      <c r="H330" s="41">
        <f>REGISTRO_B.DATOS!H331</f>
        <v>0</v>
      </c>
      <c r="I330" s="41">
        <f>REGISTRO_B.DATOS!I331</f>
        <v>0</v>
      </c>
      <c r="J330" s="41">
        <f>REGISTRO_B.DATOS!J331</f>
        <v>0</v>
      </c>
      <c r="K330" s="43">
        <f>REGISTRO_B.DATOS!K331</f>
        <v>0</v>
      </c>
    </row>
    <row r="331" spans="1:11" x14ac:dyDescent="0.25">
      <c r="A331" s="40">
        <f>REGISTRO_B.DATOS!A332</f>
        <v>0</v>
      </c>
      <c r="B331" s="41">
        <f>REGISTRO_B.DATOS!B332</f>
        <v>0</v>
      </c>
      <c r="C331" s="41">
        <f>REGISTRO_B.DATOS!C332</f>
        <v>0</v>
      </c>
      <c r="D331" s="41">
        <f>REGISTRO_B.DATOS!D332</f>
        <v>0</v>
      </c>
      <c r="E331" s="42">
        <f>REGISTRO_B.DATOS!E332</f>
        <v>0</v>
      </c>
      <c r="F331" s="41">
        <f>REGISTRO_B.DATOS!F332</f>
        <v>0</v>
      </c>
      <c r="G331" s="41">
        <f>REGISTRO_B.DATOS!G332</f>
        <v>0</v>
      </c>
      <c r="H331" s="41">
        <f>REGISTRO_B.DATOS!H332</f>
        <v>0</v>
      </c>
      <c r="I331" s="41">
        <f>REGISTRO_B.DATOS!I332</f>
        <v>0</v>
      </c>
      <c r="J331" s="41">
        <f>REGISTRO_B.DATOS!J332</f>
        <v>0</v>
      </c>
      <c r="K331" s="43">
        <f>REGISTRO_B.DATOS!K332</f>
        <v>0</v>
      </c>
    </row>
    <row r="332" spans="1:11" x14ac:dyDescent="0.25">
      <c r="A332" s="40">
        <f>REGISTRO_B.DATOS!A333</f>
        <v>0</v>
      </c>
      <c r="B332" s="41">
        <f>REGISTRO_B.DATOS!B333</f>
        <v>0</v>
      </c>
      <c r="C332" s="41">
        <f>REGISTRO_B.DATOS!C333</f>
        <v>0</v>
      </c>
      <c r="D332" s="41">
        <f>REGISTRO_B.DATOS!D333</f>
        <v>0</v>
      </c>
      <c r="E332" s="42">
        <f>REGISTRO_B.DATOS!E333</f>
        <v>0</v>
      </c>
      <c r="F332" s="41">
        <f>REGISTRO_B.DATOS!F333</f>
        <v>0</v>
      </c>
      <c r="G332" s="41">
        <f>REGISTRO_B.DATOS!G333</f>
        <v>0</v>
      </c>
      <c r="H332" s="41">
        <f>REGISTRO_B.DATOS!H333</f>
        <v>0</v>
      </c>
      <c r="I332" s="41">
        <f>REGISTRO_B.DATOS!I333</f>
        <v>0</v>
      </c>
      <c r="J332" s="41">
        <f>REGISTRO_B.DATOS!J333</f>
        <v>0</v>
      </c>
      <c r="K332" s="43">
        <f>REGISTRO_B.DATOS!K333</f>
        <v>0</v>
      </c>
    </row>
    <row r="333" spans="1:11" x14ac:dyDescent="0.25">
      <c r="A333" s="40">
        <f>REGISTRO_B.DATOS!A334</f>
        <v>0</v>
      </c>
      <c r="B333" s="41">
        <f>REGISTRO_B.DATOS!B334</f>
        <v>0</v>
      </c>
      <c r="C333" s="41">
        <f>REGISTRO_B.DATOS!C334</f>
        <v>0</v>
      </c>
      <c r="D333" s="41">
        <f>REGISTRO_B.DATOS!D334</f>
        <v>0</v>
      </c>
      <c r="E333" s="42">
        <f>REGISTRO_B.DATOS!E334</f>
        <v>0</v>
      </c>
      <c r="F333" s="41">
        <f>REGISTRO_B.DATOS!F334</f>
        <v>0</v>
      </c>
      <c r="G333" s="41">
        <f>REGISTRO_B.DATOS!G334</f>
        <v>0</v>
      </c>
      <c r="H333" s="41">
        <f>REGISTRO_B.DATOS!H334</f>
        <v>0</v>
      </c>
      <c r="I333" s="41">
        <f>REGISTRO_B.DATOS!I334</f>
        <v>0</v>
      </c>
      <c r="J333" s="41">
        <f>REGISTRO_B.DATOS!J334</f>
        <v>0</v>
      </c>
      <c r="K333" s="43">
        <f>REGISTRO_B.DATOS!K334</f>
        <v>0</v>
      </c>
    </row>
    <row r="334" spans="1:11" x14ac:dyDescent="0.25">
      <c r="A334" s="40">
        <f>REGISTRO_B.DATOS!A335</f>
        <v>0</v>
      </c>
      <c r="B334" s="41">
        <f>REGISTRO_B.DATOS!B335</f>
        <v>0</v>
      </c>
      <c r="C334" s="41">
        <f>REGISTRO_B.DATOS!C335</f>
        <v>0</v>
      </c>
      <c r="D334" s="41">
        <f>REGISTRO_B.DATOS!D335</f>
        <v>0</v>
      </c>
      <c r="E334" s="42">
        <f>REGISTRO_B.DATOS!E335</f>
        <v>0</v>
      </c>
      <c r="F334" s="41">
        <f>REGISTRO_B.DATOS!F335</f>
        <v>0</v>
      </c>
      <c r="G334" s="41">
        <f>REGISTRO_B.DATOS!G335</f>
        <v>0</v>
      </c>
      <c r="H334" s="41">
        <f>REGISTRO_B.DATOS!H335</f>
        <v>0</v>
      </c>
      <c r="I334" s="41">
        <f>REGISTRO_B.DATOS!I335</f>
        <v>0</v>
      </c>
      <c r="J334" s="41">
        <f>REGISTRO_B.DATOS!J335</f>
        <v>0</v>
      </c>
      <c r="K334" s="43">
        <f>REGISTRO_B.DATOS!K335</f>
        <v>0</v>
      </c>
    </row>
    <row r="335" spans="1:11" x14ac:dyDescent="0.25">
      <c r="A335" s="40">
        <f>REGISTRO_B.DATOS!A336</f>
        <v>0</v>
      </c>
      <c r="B335" s="41">
        <f>REGISTRO_B.DATOS!B336</f>
        <v>0</v>
      </c>
      <c r="C335" s="41">
        <f>REGISTRO_B.DATOS!C336</f>
        <v>0</v>
      </c>
      <c r="D335" s="41">
        <f>REGISTRO_B.DATOS!D336</f>
        <v>0</v>
      </c>
      <c r="E335" s="42">
        <f>REGISTRO_B.DATOS!E336</f>
        <v>0</v>
      </c>
      <c r="F335" s="41">
        <f>REGISTRO_B.DATOS!F336</f>
        <v>0</v>
      </c>
      <c r="G335" s="41">
        <f>REGISTRO_B.DATOS!G336</f>
        <v>0</v>
      </c>
      <c r="H335" s="41">
        <f>REGISTRO_B.DATOS!H336</f>
        <v>0</v>
      </c>
      <c r="I335" s="41">
        <f>REGISTRO_B.DATOS!I336</f>
        <v>0</v>
      </c>
      <c r="J335" s="41">
        <f>REGISTRO_B.DATOS!J336</f>
        <v>0</v>
      </c>
      <c r="K335" s="43">
        <f>REGISTRO_B.DATOS!K336</f>
        <v>0</v>
      </c>
    </row>
    <row r="336" spans="1:11" x14ac:dyDescent="0.25">
      <c r="A336" s="40">
        <f>REGISTRO_B.DATOS!A337</f>
        <v>0</v>
      </c>
      <c r="B336" s="41">
        <f>REGISTRO_B.DATOS!B337</f>
        <v>0</v>
      </c>
      <c r="C336" s="41">
        <f>REGISTRO_B.DATOS!C337</f>
        <v>0</v>
      </c>
      <c r="D336" s="41">
        <f>REGISTRO_B.DATOS!D337</f>
        <v>0</v>
      </c>
      <c r="E336" s="42">
        <f>REGISTRO_B.DATOS!E337</f>
        <v>0</v>
      </c>
      <c r="F336" s="41">
        <f>REGISTRO_B.DATOS!F337</f>
        <v>0</v>
      </c>
      <c r="G336" s="41">
        <f>REGISTRO_B.DATOS!G337</f>
        <v>0</v>
      </c>
      <c r="H336" s="41">
        <f>REGISTRO_B.DATOS!H337</f>
        <v>0</v>
      </c>
      <c r="I336" s="41">
        <f>REGISTRO_B.DATOS!I337</f>
        <v>0</v>
      </c>
      <c r="J336" s="41">
        <f>REGISTRO_B.DATOS!J337</f>
        <v>0</v>
      </c>
      <c r="K336" s="43">
        <f>REGISTRO_B.DATOS!K337</f>
        <v>0</v>
      </c>
    </row>
    <row r="337" spans="1:11" x14ac:dyDescent="0.25">
      <c r="A337" s="40">
        <f>REGISTRO_B.DATOS!A338</f>
        <v>0</v>
      </c>
      <c r="B337" s="41">
        <f>REGISTRO_B.DATOS!B338</f>
        <v>0</v>
      </c>
      <c r="C337" s="41">
        <f>REGISTRO_B.DATOS!C338</f>
        <v>0</v>
      </c>
      <c r="D337" s="41">
        <f>REGISTRO_B.DATOS!D338</f>
        <v>0</v>
      </c>
      <c r="E337" s="42">
        <f>REGISTRO_B.DATOS!E338</f>
        <v>0</v>
      </c>
      <c r="F337" s="41">
        <f>REGISTRO_B.DATOS!F338</f>
        <v>0</v>
      </c>
      <c r="G337" s="41">
        <f>REGISTRO_B.DATOS!G338</f>
        <v>0</v>
      </c>
      <c r="H337" s="41">
        <f>REGISTRO_B.DATOS!H338</f>
        <v>0</v>
      </c>
      <c r="I337" s="41">
        <f>REGISTRO_B.DATOS!I338</f>
        <v>0</v>
      </c>
      <c r="J337" s="41">
        <f>REGISTRO_B.DATOS!J338</f>
        <v>0</v>
      </c>
      <c r="K337" s="43">
        <f>REGISTRO_B.DATOS!K338</f>
        <v>0</v>
      </c>
    </row>
    <row r="338" spans="1:11" x14ac:dyDescent="0.25">
      <c r="A338" s="40">
        <f>REGISTRO_B.DATOS!A339</f>
        <v>0</v>
      </c>
      <c r="B338" s="41">
        <f>REGISTRO_B.DATOS!B339</f>
        <v>0</v>
      </c>
      <c r="C338" s="41">
        <f>REGISTRO_B.DATOS!C339</f>
        <v>0</v>
      </c>
      <c r="D338" s="41">
        <f>REGISTRO_B.DATOS!D339</f>
        <v>0</v>
      </c>
      <c r="E338" s="42">
        <f>REGISTRO_B.DATOS!E339</f>
        <v>0</v>
      </c>
      <c r="F338" s="41">
        <f>REGISTRO_B.DATOS!F339</f>
        <v>0</v>
      </c>
      <c r="G338" s="41">
        <f>REGISTRO_B.DATOS!G339</f>
        <v>0</v>
      </c>
      <c r="H338" s="41">
        <f>REGISTRO_B.DATOS!H339</f>
        <v>0</v>
      </c>
      <c r="I338" s="41">
        <f>REGISTRO_B.DATOS!I339</f>
        <v>0</v>
      </c>
      <c r="J338" s="41">
        <f>REGISTRO_B.DATOS!J339</f>
        <v>0</v>
      </c>
      <c r="K338" s="43">
        <f>REGISTRO_B.DATOS!K339</f>
        <v>0</v>
      </c>
    </row>
    <row r="339" spans="1:11" x14ac:dyDescent="0.25">
      <c r="A339" s="40">
        <f>REGISTRO_B.DATOS!A340</f>
        <v>0</v>
      </c>
      <c r="B339" s="41">
        <f>REGISTRO_B.DATOS!B340</f>
        <v>0</v>
      </c>
      <c r="C339" s="41">
        <f>REGISTRO_B.DATOS!C340</f>
        <v>0</v>
      </c>
      <c r="D339" s="41">
        <f>REGISTRO_B.DATOS!D340</f>
        <v>0</v>
      </c>
      <c r="E339" s="42">
        <f>REGISTRO_B.DATOS!E340</f>
        <v>0</v>
      </c>
      <c r="F339" s="41">
        <f>REGISTRO_B.DATOS!F340</f>
        <v>0</v>
      </c>
      <c r="G339" s="41">
        <f>REGISTRO_B.DATOS!G340</f>
        <v>0</v>
      </c>
      <c r="H339" s="41">
        <f>REGISTRO_B.DATOS!H340</f>
        <v>0</v>
      </c>
      <c r="I339" s="41">
        <f>REGISTRO_B.DATOS!I340</f>
        <v>0</v>
      </c>
      <c r="J339" s="41">
        <f>REGISTRO_B.DATOS!J340</f>
        <v>0</v>
      </c>
      <c r="K339" s="43">
        <f>REGISTRO_B.DATOS!K340</f>
        <v>0</v>
      </c>
    </row>
    <row r="340" spans="1:11" x14ac:dyDescent="0.25">
      <c r="A340" s="40">
        <f>REGISTRO_B.DATOS!A341</f>
        <v>0</v>
      </c>
      <c r="B340" s="41">
        <f>REGISTRO_B.DATOS!B341</f>
        <v>0</v>
      </c>
      <c r="C340" s="41">
        <f>REGISTRO_B.DATOS!C341</f>
        <v>0</v>
      </c>
      <c r="D340" s="41">
        <f>REGISTRO_B.DATOS!D341</f>
        <v>0</v>
      </c>
      <c r="E340" s="42">
        <f>REGISTRO_B.DATOS!E341</f>
        <v>0</v>
      </c>
      <c r="F340" s="41">
        <f>REGISTRO_B.DATOS!F341</f>
        <v>0</v>
      </c>
      <c r="G340" s="41">
        <f>REGISTRO_B.DATOS!G341</f>
        <v>0</v>
      </c>
      <c r="H340" s="41">
        <f>REGISTRO_B.DATOS!H341</f>
        <v>0</v>
      </c>
      <c r="I340" s="41">
        <f>REGISTRO_B.DATOS!I341</f>
        <v>0</v>
      </c>
      <c r="J340" s="41">
        <f>REGISTRO_B.DATOS!J341</f>
        <v>0</v>
      </c>
      <c r="K340" s="43">
        <f>REGISTRO_B.DATOS!K341</f>
        <v>0</v>
      </c>
    </row>
    <row r="341" spans="1:11" x14ac:dyDescent="0.25">
      <c r="A341" s="40">
        <f>REGISTRO_B.DATOS!A342</f>
        <v>0</v>
      </c>
      <c r="B341" s="41">
        <f>REGISTRO_B.DATOS!B342</f>
        <v>0</v>
      </c>
      <c r="C341" s="41">
        <f>REGISTRO_B.DATOS!C342</f>
        <v>0</v>
      </c>
      <c r="D341" s="41">
        <f>REGISTRO_B.DATOS!D342</f>
        <v>0</v>
      </c>
      <c r="E341" s="42">
        <f>REGISTRO_B.DATOS!E342</f>
        <v>0</v>
      </c>
      <c r="F341" s="41">
        <f>REGISTRO_B.DATOS!F342</f>
        <v>0</v>
      </c>
      <c r="G341" s="41">
        <f>REGISTRO_B.DATOS!G342</f>
        <v>0</v>
      </c>
      <c r="H341" s="41">
        <f>REGISTRO_B.DATOS!H342</f>
        <v>0</v>
      </c>
      <c r="I341" s="41">
        <f>REGISTRO_B.DATOS!I342</f>
        <v>0</v>
      </c>
      <c r="J341" s="41">
        <f>REGISTRO_B.DATOS!J342</f>
        <v>0</v>
      </c>
      <c r="K341" s="43">
        <f>REGISTRO_B.DATOS!K342</f>
        <v>0</v>
      </c>
    </row>
    <row r="342" spans="1:11" x14ac:dyDescent="0.25">
      <c r="A342" s="40">
        <f>REGISTRO_B.DATOS!A343</f>
        <v>0</v>
      </c>
      <c r="B342" s="41">
        <f>REGISTRO_B.DATOS!B343</f>
        <v>0</v>
      </c>
      <c r="C342" s="41">
        <f>REGISTRO_B.DATOS!C343</f>
        <v>0</v>
      </c>
      <c r="D342" s="41">
        <f>REGISTRO_B.DATOS!D343</f>
        <v>0</v>
      </c>
      <c r="E342" s="42">
        <f>REGISTRO_B.DATOS!E343</f>
        <v>0</v>
      </c>
      <c r="F342" s="41">
        <f>REGISTRO_B.DATOS!F343</f>
        <v>0</v>
      </c>
      <c r="G342" s="41">
        <f>REGISTRO_B.DATOS!G343</f>
        <v>0</v>
      </c>
      <c r="H342" s="41">
        <f>REGISTRO_B.DATOS!H343</f>
        <v>0</v>
      </c>
      <c r="I342" s="41">
        <f>REGISTRO_B.DATOS!I343</f>
        <v>0</v>
      </c>
      <c r="J342" s="41">
        <f>REGISTRO_B.DATOS!J343</f>
        <v>0</v>
      </c>
      <c r="K342" s="43">
        <f>REGISTRO_B.DATOS!K343</f>
        <v>0</v>
      </c>
    </row>
    <row r="343" spans="1:11" x14ac:dyDescent="0.25">
      <c r="A343" s="40">
        <f>REGISTRO_B.DATOS!A344</f>
        <v>0</v>
      </c>
      <c r="B343" s="41">
        <f>REGISTRO_B.DATOS!B344</f>
        <v>0</v>
      </c>
      <c r="C343" s="41">
        <f>REGISTRO_B.DATOS!C344</f>
        <v>0</v>
      </c>
      <c r="D343" s="41">
        <f>REGISTRO_B.DATOS!D344</f>
        <v>0</v>
      </c>
      <c r="E343" s="42">
        <f>REGISTRO_B.DATOS!E344</f>
        <v>0</v>
      </c>
      <c r="F343" s="41">
        <f>REGISTRO_B.DATOS!F344</f>
        <v>0</v>
      </c>
      <c r="G343" s="41">
        <f>REGISTRO_B.DATOS!G344</f>
        <v>0</v>
      </c>
      <c r="H343" s="41">
        <f>REGISTRO_B.DATOS!H344</f>
        <v>0</v>
      </c>
      <c r="I343" s="41">
        <f>REGISTRO_B.DATOS!I344</f>
        <v>0</v>
      </c>
      <c r="J343" s="41">
        <f>REGISTRO_B.DATOS!J344</f>
        <v>0</v>
      </c>
      <c r="K343" s="43">
        <f>REGISTRO_B.DATOS!K344</f>
        <v>0</v>
      </c>
    </row>
    <row r="344" spans="1:11" x14ac:dyDescent="0.25">
      <c r="A344" s="40">
        <f>REGISTRO_B.DATOS!A345</f>
        <v>0</v>
      </c>
      <c r="B344" s="41">
        <f>REGISTRO_B.DATOS!B345</f>
        <v>0</v>
      </c>
      <c r="C344" s="41">
        <f>REGISTRO_B.DATOS!C345</f>
        <v>0</v>
      </c>
      <c r="D344" s="41">
        <f>REGISTRO_B.DATOS!D345</f>
        <v>0</v>
      </c>
      <c r="E344" s="42">
        <f>REGISTRO_B.DATOS!E345</f>
        <v>0</v>
      </c>
      <c r="F344" s="41">
        <f>REGISTRO_B.DATOS!F345</f>
        <v>0</v>
      </c>
      <c r="G344" s="41">
        <f>REGISTRO_B.DATOS!G345</f>
        <v>0</v>
      </c>
      <c r="H344" s="41">
        <f>REGISTRO_B.DATOS!H345</f>
        <v>0</v>
      </c>
      <c r="I344" s="41">
        <f>REGISTRO_B.DATOS!I345</f>
        <v>0</v>
      </c>
      <c r="J344" s="41">
        <f>REGISTRO_B.DATOS!J345</f>
        <v>0</v>
      </c>
      <c r="K344" s="43">
        <f>REGISTRO_B.DATOS!K345</f>
        <v>0</v>
      </c>
    </row>
    <row r="345" spans="1:11" x14ac:dyDescent="0.25">
      <c r="A345" s="40">
        <f>REGISTRO_B.DATOS!A346</f>
        <v>0</v>
      </c>
      <c r="B345" s="41">
        <f>REGISTRO_B.DATOS!B346</f>
        <v>0</v>
      </c>
      <c r="C345" s="41">
        <f>REGISTRO_B.DATOS!C346</f>
        <v>0</v>
      </c>
      <c r="D345" s="41">
        <f>REGISTRO_B.DATOS!D346</f>
        <v>0</v>
      </c>
      <c r="E345" s="42">
        <f>REGISTRO_B.DATOS!E346</f>
        <v>0</v>
      </c>
      <c r="F345" s="41">
        <f>REGISTRO_B.DATOS!F346</f>
        <v>0</v>
      </c>
      <c r="G345" s="41">
        <f>REGISTRO_B.DATOS!G346</f>
        <v>0</v>
      </c>
      <c r="H345" s="41">
        <f>REGISTRO_B.DATOS!H346</f>
        <v>0</v>
      </c>
      <c r="I345" s="41">
        <f>REGISTRO_B.DATOS!I346</f>
        <v>0</v>
      </c>
      <c r="J345" s="41">
        <f>REGISTRO_B.DATOS!J346</f>
        <v>0</v>
      </c>
      <c r="K345" s="43">
        <f>REGISTRO_B.DATOS!K346</f>
        <v>0</v>
      </c>
    </row>
    <row r="346" spans="1:11" x14ac:dyDescent="0.25">
      <c r="A346" s="40">
        <f>REGISTRO_B.DATOS!A347</f>
        <v>0</v>
      </c>
      <c r="B346" s="41">
        <f>REGISTRO_B.DATOS!B347</f>
        <v>0</v>
      </c>
      <c r="C346" s="41">
        <f>REGISTRO_B.DATOS!C347</f>
        <v>0</v>
      </c>
      <c r="D346" s="41">
        <f>REGISTRO_B.DATOS!D347</f>
        <v>0</v>
      </c>
      <c r="E346" s="42">
        <f>REGISTRO_B.DATOS!E347</f>
        <v>0</v>
      </c>
      <c r="F346" s="41">
        <f>REGISTRO_B.DATOS!F347</f>
        <v>0</v>
      </c>
      <c r="G346" s="41">
        <f>REGISTRO_B.DATOS!G347</f>
        <v>0</v>
      </c>
      <c r="H346" s="41">
        <f>REGISTRO_B.DATOS!H347</f>
        <v>0</v>
      </c>
      <c r="I346" s="41">
        <f>REGISTRO_B.DATOS!I347</f>
        <v>0</v>
      </c>
      <c r="J346" s="41">
        <f>REGISTRO_B.DATOS!J347</f>
        <v>0</v>
      </c>
      <c r="K346" s="43">
        <f>REGISTRO_B.DATOS!K347</f>
        <v>0</v>
      </c>
    </row>
    <row r="347" spans="1:11" x14ac:dyDescent="0.25">
      <c r="A347" s="40">
        <f>REGISTRO_B.DATOS!A348</f>
        <v>0</v>
      </c>
      <c r="B347" s="41">
        <f>REGISTRO_B.DATOS!B348</f>
        <v>0</v>
      </c>
      <c r="C347" s="41">
        <f>REGISTRO_B.DATOS!C348</f>
        <v>0</v>
      </c>
      <c r="D347" s="41">
        <f>REGISTRO_B.DATOS!D348</f>
        <v>0</v>
      </c>
      <c r="E347" s="42">
        <f>REGISTRO_B.DATOS!E348</f>
        <v>0</v>
      </c>
      <c r="F347" s="41">
        <f>REGISTRO_B.DATOS!F348</f>
        <v>0</v>
      </c>
      <c r="G347" s="41">
        <f>REGISTRO_B.DATOS!G348</f>
        <v>0</v>
      </c>
      <c r="H347" s="41">
        <f>REGISTRO_B.DATOS!H348</f>
        <v>0</v>
      </c>
      <c r="I347" s="41">
        <f>REGISTRO_B.DATOS!I348</f>
        <v>0</v>
      </c>
      <c r="J347" s="41">
        <f>REGISTRO_B.DATOS!J348</f>
        <v>0</v>
      </c>
      <c r="K347" s="43">
        <f>REGISTRO_B.DATOS!K348</f>
        <v>0</v>
      </c>
    </row>
    <row r="348" spans="1:11" x14ac:dyDescent="0.25">
      <c r="A348" s="40">
        <f>REGISTRO_B.DATOS!A349</f>
        <v>0</v>
      </c>
      <c r="B348" s="41">
        <f>REGISTRO_B.DATOS!B349</f>
        <v>0</v>
      </c>
      <c r="C348" s="41">
        <f>REGISTRO_B.DATOS!C349</f>
        <v>0</v>
      </c>
      <c r="D348" s="41">
        <f>REGISTRO_B.DATOS!D349</f>
        <v>0</v>
      </c>
      <c r="E348" s="42">
        <f>REGISTRO_B.DATOS!E349</f>
        <v>0</v>
      </c>
      <c r="F348" s="41">
        <f>REGISTRO_B.DATOS!F349</f>
        <v>0</v>
      </c>
      <c r="G348" s="41">
        <f>REGISTRO_B.DATOS!G349</f>
        <v>0</v>
      </c>
      <c r="H348" s="41">
        <f>REGISTRO_B.DATOS!H349</f>
        <v>0</v>
      </c>
      <c r="I348" s="41">
        <f>REGISTRO_B.DATOS!I349</f>
        <v>0</v>
      </c>
      <c r="J348" s="41">
        <f>REGISTRO_B.DATOS!J349</f>
        <v>0</v>
      </c>
      <c r="K348" s="43">
        <f>REGISTRO_B.DATOS!K349</f>
        <v>0</v>
      </c>
    </row>
    <row r="349" spans="1:11" x14ac:dyDescent="0.25">
      <c r="A349" s="40">
        <f>REGISTRO_B.DATOS!A350</f>
        <v>0</v>
      </c>
      <c r="B349" s="41">
        <f>REGISTRO_B.DATOS!B350</f>
        <v>0</v>
      </c>
      <c r="C349" s="41">
        <f>REGISTRO_B.DATOS!C350</f>
        <v>0</v>
      </c>
      <c r="D349" s="41">
        <f>REGISTRO_B.DATOS!D350</f>
        <v>0</v>
      </c>
      <c r="E349" s="42">
        <f>REGISTRO_B.DATOS!E350</f>
        <v>0</v>
      </c>
      <c r="F349" s="41">
        <f>REGISTRO_B.DATOS!F350</f>
        <v>0</v>
      </c>
      <c r="G349" s="41">
        <f>REGISTRO_B.DATOS!G350</f>
        <v>0</v>
      </c>
      <c r="H349" s="41">
        <f>REGISTRO_B.DATOS!H350</f>
        <v>0</v>
      </c>
      <c r="I349" s="41">
        <f>REGISTRO_B.DATOS!I350</f>
        <v>0</v>
      </c>
      <c r="J349" s="41">
        <f>REGISTRO_B.DATOS!J350</f>
        <v>0</v>
      </c>
      <c r="K349" s="43">
        <f>REGISTRO_B.DATOS!K350</f>
        <v>0</v>
      </c>
    </row>
    <row r="350" spans="1:11" x14ac:dyDescent="0.25">
      <c r="A350" s="40">
        <f>REGISTRO_B.DATOS!A351</f>
        <v>0</v>
      </c>
      <c r="B350" s="41">
        <f>REGISTRO_B.DATOS!B351</f>
        <v>0</v>
      </c>
      <c r="C350" s="41">
        <f>REGISTRO_B.DATOS!C351</f>
        <v>0</v>
      </c>
      <c r="D350" s="41">
        <f>REGISTRO_B.DATOS!D351</f>
        <v>0</v>
      </c>
      <c r="E350" s="42">
        <f>REGISTRO_B.DATOS!E351</f>
        <v>0</v>
      </c>
      <c r="F350" s="41">
        <f>REGISTRO_B.DATOS!F351</f>
        <v>0</v>
      </c>
      <c r="G350" s="41">
        <f>REGISTRO_B.DATOS!G351</f>
        <v>0</v>
      </c>
      <c r="H350" s="41">
        <f>REGISTRO_B.DATOS!H351</f>
        <v>0</v>
      </c>
      <c r="I350" s="41">
        <f>REGISTRO_B.DATOS!I351</f>
        <v>0</v>
      </c>
      <c r="J350" s="41">
        <f>REGISTRO_B.DATOS!J351</f>
        <v>0</v>
      </c>
      <c r="K350" s="43">
        <f>REGISTRO_B.DATOS!K351</f>
        <v>0</v>
      </c>
    </row>
    <row r="351" spans="1:11" x14ac:dyDescent="0.25">
      <c r="A351" s="40">
        <f>REGISTRO_B.DATOS!A352</f>
        <v>0</v>
      </c>
      <c r="B351" s="41">
        <f>REGISTRO_B.DATOS!B352</f>
        <v>0</v>
      </c>
      <c r="C351" s="41">
        <f>REGISTRO_B.DATOS!C352</f>
        <v>0</v>
      </c>
      <c r="D351" s="41">
        <f>REGISTRO_B.DATOS!D352</f>
        <v>0</v>
      </c>
      <c r="E351" s="42">
        <f>REGISTRO_B.DATOS!E352</f>
        <v>0</v>
      </c>
      <c r="F351" s="41">
        <f>REGISTRO_B.DATOS!F352</f>
        <v>0</v>
      </c>
      <c r="G351" s="41">
        <f>REGISTRO_B.DATOS!G352</f>
        <v>0</v>
      </c>
      <c r="H351" s="41">
        <f>REGISTRO_B.DATOS!H352</f>
        <v>0</v>
      </c>
      <c r="I351" s="41">
        <f>REGISTRO_B.DATOS!I352</f>
        <v>0</v>
      </c>
      <c r="J351" s="41">
        <f>REGISTRO_B.DATOS!J352</f>
        <v>0</v>
      </c>
      <c r="K351" s="43">
        <f>REGISTRO_B.DATOS!K352</f>
        <v>0</v>
      </c>
    </row>
    <row r="352" spans="1:11" x14ac:dyDescent="0.25">
      <c r="A352" s="40">
        <f>REGISTRO_B.DATOS!A353</f>
        <v>0</v>
      </c>
      <c r="B352" s="41">
        <f>REGISTRO_B.DATOS!B353</f>
        <v>0</v>
      </c>
      <c r="C352" s="41">
        <f>REGISTRO_B.DATOS!C353</f>
        <v>0</v>
      </c>
      <c r="D352" s="41">
        <f>REGISTRO_B.DATOS!D353</f>
        <v>0</v>
      </c>
      <c r="E352" s="42">
        <f>REGISTRO_B.DATOS!E353</f>
        <v>0</v>
      </c>
      <c r="F352" s="41">
        <f>REGISTRO_B.DATOS!F353</f>
        <v>0</v>
      </c>
      <c r="G352" s="41">
        <f>REGISTRO_B.DATOS!G353</f>
        <v>0</v>
      </c>
      <c r="H352" s="41">
        <f>REGISTRO_B.DATOS!H353</f>
        <v>0</v>
      </c>
      <c r="I352" s="41">
        <f>REGISTRO_B.DATOS!I353</f>
        <v>0</v>
      </c>
      <c r="J352" s="41">
        <f>REGISTRO_B.DATOS!J353</f>
        <v>0</v>
      </c>
      <c r="K352" s="43">
        <f>REGISTRO_B.DATOS!K353</f>
        <v>0</v>
      </c>
    </row>
    <row r="353" spans="1:11" x14ac:dyDescent="0.25">
      <c r="A353" s="40">
        <f>REGISTRO_B.DATOS!A354</f>
        <v>0</v>
      </c>
      <c r="B353" s="41">
        <f>REGISTRO_B.DATOS!B354</f>
        <v>0</v>
      </c>
      <c r="C353" s="41">
        <f>REGISTRO_B.DATOS!C354</f>
        <v>0</v>
      </c>
      <c r="D353" s="41">
        <f>REGISTRO_B.DATOS!D354</f>
        <v>0</v>
      </c>
      <c r="E353" s="42">
        <f>REGISTRO_B.DATOS!E354</f>
        <v>0</v>
      </c>
      <c r="F353" s="41">
        <f>REGISTRO_B.DATOS!F354</f>
        <v>0</v>
      </c>
      <c r="G353" s="41">
        <f>REGISTRO_B.DATOS!G354</f>
        <v>0</v>
      </c>
      <c r="H353" s="41">
        <f>REGISTRO_B.DATOS!H354</f>
        <v>0</v>
      </c>
      <c r="I353" s="41">
        <f>REGISTRO_B.DATOS!I354</f>
        <v>0</v>
      </c>
      <c r="J353" s="41">
        <f>REGISTRO_B.DATOS!J354</f>
        <v>0</v>
      </c>
      <c r="K353" s="43">
        <f>REGISTRO_B.DATOS!K354</f>
        <v>0</v>
      </c>
    </row>
    <row r="354" spans="1:11" x14ac:dyDescent="0.25">
      <c r="A354" s="40">
        <f>REGISTRO_B.DATOS!A355</f>
        <v>0</v>
      </c>
      <c r="B354" s="41">
        <f>REGISTRO_B.DATOS!B355</f>
        <v>0</v>
      </c>
      <c r="C354" s="41">
        <f>REGISTRO_B.DATOS!C355</f>
        <v>0</v>
      </c>
      <c r="D354" s="41">
        <f>REGISTRO_B.DATOS!D355</f>
        <v>0</v>
      </c>
      <c r="E354" s="42">
        <f>REGISTRO_B.DATOS!E355</f>
        <v>0</v>
      </c>
      <c r="F354" s="41">
        <f>REGISTRO_B.DATOS!F355</f>
        <v>0</v>
      </c>
      <c r="G354" s="41">
        <f>REGISTRO_B.DATOS!G355</f>
        <v>0</v>
      </c>
      <c r="H354" s="41">
        <f>REGISTRO_B.DATOS!H355</f>
        <v>0</v>
      </c>
      <c r="I354" s="41">
        <f>REGISTRO_B.DATOS!I355</f>
        <v>0</v>
      </c>
      <c r="J354" s="41">
        <f>REGISTRO_B.DATOS!J355</f>
        <v>0</v>
      </c>
      <c r="K354" s="43">
        <f>REGISTRO_B.DATOS!K355</f>
        <v>0</v>
      </c>
    </row>
    <row r="355" spans="1:11" x14ac:dyDescent="0.25">
      <c r="A355" s="40">
        <f>REGISTRO_B.DATOS!A356</f>
        <v>0</v>
      </c>
      <c r="B355" s="41">
        <f>REGISTRO_B.DATOS!B356</f>
        <v>0</v>
      </c>
      <c r="C355" s="41">
        <f>REGISTRO_B.DATOS!C356</f>
        <v>0</v>
      </c>
      <c r="D355" s="41">
        <f>REGISTRO_B.DATOS!D356</f>
        <v>0</v>
      </c>
      <c r="E355" s="42">
        <f>REGISTRO_B.DATOS!E356</f>
        <v>0</v>
      </c>
      <c r="F355" s="41">
        <f>REGISTRO_B.DATOS!F356</f>
        <v>0</v>
      </c>
      <c r="G355" s="41">
        <f>REGISTRO_B.DATOS!G356</f>
        <v>0</v>
      </c>
      <c r="H355" s="41">
        <f>REGISTRO_B.DATOS!H356</f>
        <v>0</v>
      </c>
      <c r="I355" s="41">
        <f>REGISTRO_B.DATOS!I356</f>
        <v>0</v>
      </c>
      <c r="J355" s="41">
        <f>REGISTRO_B.DATOS!J356</f>
        <v>0</v>
      </c>
      <c r="K355" s="43">
        <f>REGISTRO_B.DATOS!K356</f>
        <v>0</v>
      </c>
    </row>
    <row r="356" spans="1:11" x14ac:dyDescent="0.25">
      <c r="A356" s="40">
        <f>REGISTRO_B.DATOS!A357</f>
        <v>0</v>
      </c>
      <c r="B356" s="41">
        <f>REGISTRO_B.DATOS!B357</f>
        <v>0</v>
      </c>
      <c r="C356" s="41">
        <f>REGISTRO_B.DATOS!C357</f>
        <v>0</v>
      </c>
      <c r="D356" s="41">
        <f>REGISTRO_B.DATOS!D357</f>
        <v>0</v>
      </c>
      <c r="E356" s="42">
        <f>REGISTRO_B.DATOS!E357</f>
        <v>0</v>
      </c>
      <c r="F356" s="41">
        <f>REGISTRO_B.DATOS!F357</f>
        <v>0</v>
      </c>
      <c r="G356" s="41">
        <f>REGISTRO_B.DATOS!G357</f>
        <v>0</v>
      </c>
      <c r="H356" s="41">
        <f>REGISTRO_B.DATOS!H357</f>
        <v>0</v>
      </c>
      <c r="I356" s="41">
        <f>REGISTRO_B.DATOS!I357</f>
        <v>0</v>
      </c>
      <c r="J356" s="41">
        <f>REGISTRO_B.DATOS!J357</f>
        <v>0</v>
      </c>
      <c r="K356" s="43">
        <f>REGISTRO_B.DATOS!K357</f>
        <v>0</v>
      </c>
    </row>
    <row r="357" spans="1:11" x14ac:dyDescent="0.25">
      <c r="A357" s="40">
        <f>REGISTRO_B.DATOS!A358</f>
        <v>0</v>
      </c>
      <c r="B357" s="41">
        <f>REGISTRO_B.DATOS!B358</f>
        <v>0</v>
      </c>
      <c r="C357" s="41">
        <f>REGISTRO_B.DATOS!C358</f>
        <v>0</v>
      </c>
      <c r="D357" s="41">
        <f>REGISTRO_B.DATOS!D358</f>
        <v>0</v>
      </c>
      <c r="E357" s="42">
        <f>REGISTRO_B.DATOS!E358</f>
        <v>0</v>
      </c>
      <c r="F357" s="41">
        <f>REGISTRO_B.DATOS!F358</f>
        <v>0</v>
      </c>
      <c r="G357" s="41">
        <f>REGISTRO_B.DATOS!G358</f>
        <v>0</v>
      </c>
      <c r="H357" s="41">
        <f>REGISTRO_B.DATOS!H358</f>
        <v>0</v>
      </c>
      <c r="I357" s="41">
        <f>REGISTRO_B.DATOS!I358</f>
        <v>0</v>
      </c>
      <c r="J357" s="41">
        <f>REGISTRO_B.DATOS!J358</f>
        <v>0</v>
      </c>
      <c r="K357" s="43">
        <f>REGISTRO_B.DATOS!K358</f>
        <v>0</v>
      </c>
    </row>
    <row r="358" spans="1:11" x14ac:dyDescent="0.25">
      <c r="A358" s="40">
        <f>REGISTRO_B.DATOS!A359</f>
        <v>0</v>
      </c>
      <c r="B358" s="41">
        <f>REGISTRO_B.DATOS!B359</f>
        <v>0</v>
      </c>
      <c r="C358" s="41">
        <f>REGISTRO_B.DATOS!C359</f>
        <v>0</v>
      </c>
      <c r="D358" s="41">
        <f>REGISTRO_B.DATOS!D359</f>
        <v>0</v>
      </c>
      <c r="E358" s="42">
        <f>REGISTRO_B.DATOS!E359</f>
        <v>0</v>
      </c>
      <c r="F358" s="41">
        <f>REGISTRO_B.DATOS!F359</f>
        <v>0</v>
      </c>
      <c r="G358" s="41">
        <f>REGISTRO_B.DATOS!G359</f>
        <v>0</v>
      </c>
      <c r="H358" s="41">
        <f>REGISTRO_B.DATOS!H359</f>
        <v>0</v>
      </c>
      <c r="I358" s="41">
        <f>REGISTRO_B.DATOS!I359</f>
        <v>0</v>
      </c>
      <c r="J358" s="41">
        <f>REGISTRO_B.DATOS!J359</f>
        <v>0</v>
      </c>
      <c r="K358" s="43">
        <f>REGISTRO_B.DATOS!K359</f>
        <v>0</v>
      </c>
    </row>
    <row r="359" spans="1:11" x14ac:dyDescent="0.25">
      <c r="A359" s="40">
        <f>REGISTRO_B.DATOS!A360</f>
        <v>0</v>
      </c>
      <c r="B359" s="41">
        <f>REGISTRO_B.DATOS!B360</f>
        <v>0</v>
      </c>
      <c r="C359" s="41">
        <f>REGISTRO_B.DATOS!C360</f>
        <v>0</v>
      </c>
      <c r="D359" s="41">
        <f>REGISTRO_B.DATOS!D360</f>
        <v>0</v>
      </c>
      <c r="E359" s="42">
        <f>REGISTRO_B.DATOS!E360</f>
        <v>0</v>
      </c>
      <c r="F359" s="41">
        <f>REGISTRO_B.DATOS!F360</f>
        <v>0</v>
      </c>
      <c r="G359" s="41">
        <f>REGISTRO_B.DATOS!G360</f>
        <v>0</v>
      </c>
      <c r="H359" s="41">
        <f>REGISTRO_B.DATOS!H360</f>
        <v>0</v>
      </c>
      <c r="I359" s="41">
        <f>REGISTRO_B.DATOS!I360</f>
        <v>0</v>
      </c>
      <c r="J359" s="41">
        <f>REGISTRO_B.DATOS!J360</f>
        <v>0</v>
      </c>
      <c r="K359" s="43">
        <f>REGISTRO_B.DATOS!K360</f>
        <v>0</v>
      </c>
    </row>
    <row r="360" spans="1:11" x14ac:dyDescent="0.25">
      <c r="A360" s="40">
        <f>REGISTRO_B.DATOS!A361</f>
        <v>0</v>
      </c>
      <c r="B360" s="41">
        <f>REGISTRO_B.DATOS!B361</f>
        <v>0</v>
      </c>
      <c r="C360" s="41">
        <f>REGISTRO_B.DATOS!C361</f>
        <v>0</v>
      </c>
      <c r="D360" s="41">
        <f>REGISTRO_B.DATOS!D361</f>
        <v>0</v>
      </c>
      <c r="E360" s="42">
        <f>REGISTRO_B.DATOS!E361</f>
        <v>0</v>
      </c>
      <c r="F360" s="41">
        <f>REGISTRO_B.DATOS!F361</f>
        <v>0</v>
      </c>
      <c r="G360" s="41">
        <f>REGISTRO_B.DATOS!G361</f>
        <v>0</v>
      </c>
      <c r="H360" s="41">
        <f>REGISTRO_B.DATOS!H361</f>
        <v>0</v>
      </c>
      <c r="I360" s="41">
        <f>REGISTRO_B.DATOS!I361</f>
        <v>0</v>
      </c>
      <c r="J360" s="41">
        <f>REGISTRO_B.DATOS!J361</f>
        <v>0</v>
      </c>
      <c r="K360" s="43">
        <f>REGISTRO_B.DATOS!K361</f>
        <v>0</v>
      </c>
    </row>
    <row r="361" spans="1:11" x14ac:dyDescent="0.25">
      <c r="A361" s="40">
        <f>REGISTRO_B.DATOS!A362</f>
        <v>0</v>
      </c>
      <c r="B361" s="41">
        <f>REGISTRO_B.DATOS!B362</f>
        <v>0</v>
      </c>
      <c r="C361" s="41">
        <f>REGISTRO_B.DATOS!C362</f>
        <v>0</v>
      </c>
      <c r="D361" s="41">
        <f>REGISTRO_B.DATOS!D362</f>
        <v>0</v>
      </c>
      <c r="E361" s="42">
        <f>REGISTRO_B.DATOS!E362</f>
        <v>0</v>
      </c>
      <c r="F361" s="41">
        <f>REGISTRO_B.DATOS!F362</f>
        <v>0</v>
      </c>
      <c r="G361" s="41">
        <f>REGISTRO_B.DATOS!G362</f>
        <v>0</v>
      </c>
      <c r="H361" s="41">
        <f>REGISTRO_B.DATOS!H362</f>
        <v>0</v>
      </c>
      <c r="I361" s="41">
        <f>REGISTRO_B.DATOS!I362</f>
        <v>0</v>
      </c>
      <c r="J361" s="41">
        <f>REGISTRO_B.DATOS!J362</f>
        <v>0</v>
      </c>
      <c r="K361" s="43">
        <f>REGISTRO_B.DATOS!K362</f>
        <v>0</v>
      </c>
    </row>
    <row r="362" spans="1:11" x14ac:dyDescent="0.25">
      <c r="A362" s="40">
        <f>REGISTRO_B.DATOS!A363</f>
        <v>0</v>
      </c>
      <c r="B362" s="41">
        <f>REGISTRO_B.DATOS!B363</f>
        <v>0</v>
      </c>
      <c r="C362" s="41">
        <f>REGISTRO_B.DATOS!C363</f>
        <v>0</v>
      </c>
      <c r="D362" s="41">
        <f>REGISTRO_B.DATOS!D363</f>
        <v>0</v>
      </c>
      <c r="E362" s="42">
        <f>REGISTRO_B.DATOS!E363</f>
        <v>0</v>
      </c>
      <c r="F362" s="41">
        <f>REGISTRO_B.DATOS!F363</f>
        <v>0</v>
      </c>
      <c r="G362" s="41">
        <f>REGISTRO_B.DATOS!G363</f>
        <v>0</v>
      </c>
      <c r="H362" s="41">
        <f>REGISTRO_B.DATOS!H363</f>
        <v>0</v>
      </c>
      <c r="I362" s="41">
        <f>REGISTRO_B.DATOS!I363</f>
        <v>0</v>
      </c>
      <c r="J362" s="41">
        <f>REGISTRO_B.DATOS!J363</f>
        <v>0</v>
      </c>
      <c r="K362" s="43">
        <f>REGISTRO_B.DATOS!K363</f>
        <v>0</v>
      </c>
    </row>
    <row r="363" spans="1:11" x14ac:dyDescent="0.25">
      <c r="A363" s="40">
        <f>REGISTRO_B.DATOS!A364</f>
        <v>0</v>
      </c>
      <c r="B363" s="41">
        <f>REGISTRO_B.DATOS!B364</f>
        <v>0</v>
      </c>
      <c r="C363" s="41">
        <f>REGISTRO_B.DATOS!C364</f>
        <v>0</v>
      </c>
      <c r="D363" s="41">
        <f>REGISTRO_B.DATOS!D364</f>
        <v>0</v>
      </c>
      <c r="E363" s="42">
        <f>REGISTRO_B.DATOS!E364</f>
        <v>0</v>
      </c>
      <c r="F363" s="41">
        <f>REGISTRO_B.DATOS!F364</f>
        <v>0</v>
      </c>
      <c r="G363" s="41">
        <f>REGISTRO_B.DATOS!G364</f>
        <v>0</v>
      </c>
      <c r="H363" s="41">
        <f>REGISTRO_B.DATOS!H364</f>
        <v>0</v>
      </c>
      <c r="I363" s="41">
        <f>REGISTRO_B.DATOS!I364</f>
        <v>0</v>
      </c>
      <c r="J363" s="41">
        <f>REGISTRO_B.DATOS!J364</f>
        <v>0</v>
      </c>
      <c r="K363" s="43">
        <f>REGISTRO_B.DATOS!K364</f>
        <v>0</v>
      </c>
    </row>
    <row r="364" spans="1:11" x14ac:dyDescent="0.25">
      <c r="A364" s="40">
        <f>REGISTRO_B.DATOS!A365</f>
        <v>0</v>
      </c>
      <c r="B364" s="41">
        <f>REGISTRO_B.DATOS!B365</f>
        <v>0</v>
      </c>
      <c r="C364" s="41">
        <f>REGISTRO_B.DATOS!C365</f>
        <v>0</v>
      </c>
      <c r="D364" s="41">
        <f>REGISTRO_B.DATOS!D365</f>
        <v>0</v>
      </c>
      <c r="E364" s="42">
        <f>REGISTRO_B.DATOS!E365</f>
        <v>0</v>
      </c>
      <c r="F364" s="41">
        <f>REGISTRO_B.DATOS!F365</f>
        <v>0</v>
      </c>
      <c r="G364" s="41">
        <f>REGISTRO_B.DATOS!G365</f>
        <v>0</v>
      </c>
      <c r="H364" s="41">
        <f>REGISTRO_B.DATOS!H365</f>
        <v>0</v>
      </c>
      <c r="I364" s="41">
        <f>REGISTRO_B.DATOS!I365</f>
        <v>0</v>
      </c>
      <c r="J364" s="41">
        <f>REGISTRO_B.DATOS!J365</f>
        <v>0</v>
      </c>
      <c r="K364" s="43">
        <f>REGISTRO_B.DATOS!K365</f>
        <v>0</v>
      </c>
    </row>
    <row r="365" spans="1:11" x14ac:dyDescent="0.25">
      <c r="A365" s="40">
        <f>REGISTRO_B.DATOS!A366</f>
        <v>0</v>
      </c>
      <c r="B365" s="41">
        <f>REGISTRO_B.DATOS!B366</f>
        <v>0</v>
      </c>
      <c r="C365" s="41">
        <f>REGISTRO_B.DATOS!C366</f>
        <v>0</v>
      </c>
      <c r="D365" s="41">
        <f>REGISTRO_B.DATOS!D366</f>
        <v>0</v>
      </c>
      <c r="E365" s="42">
        <f>REGISTRO_B.DATOS!E366</f>
        <v>0</v>
      </c>
      <c r="F365" s="41">
        <f>REGISTRO_B.DATOS!F366</f>
        <v>0</v>
      </c>
      <c r="G365" s="41">
        <f>REGISTRO_B.DATOS!G366</f>
        <v>0</v>
      </c>
      <c r="H365" s="41">
        <f>REGISTRO_B.DATOS!H366</f>
        <v>0</v>
      </c>
      <c r="I365" s="41">
        <f>REGISTRO_B.DATOS!I366</f>
        <v>0</v>
      </c>
      <c r="J365" s="41">
        <f>REGISTRO_B.DATOS!J366</f>
        <v>0</v>
      </c>
      <c r="K365" s="43">
        <f>REGISTRO_B.DATOS!K366</f>
        <v>0</v>
      </c>
    </row>
    <row r="366" spans="1:11" x14ac:dyDescent="0.25">
      <c r="A366" s="40">
        <f>REGISTRO_B.DATOS!A367</f>
        <v>0</v>
      </c>
      <c r="B366" s="41">
        <f>REGISTRO_B.DATOS!B367</f>
        <v>0</v>
      </c>
      <c r="C366" s="41">
        <f>REGISTRO_B.DATOS!C367</f>
        <v>0</v>
      </c>
      <c r="D366" s="41">
        <f>REGISTRO_B.DATOS!D367</f>
        <v>0</v>
      </c>
      <c r="E366" s="42">
        <f>REGISTRO_B.DATOS!E367</f>
        <v>0</v>
      </c>
      <c r="F366" s="41">
        <f>REGISTRO_B.DATOS!F367</f>
        <v>0</v>
      </c>
      <c r="G366" s="41">
        <f>REGISTRO_B.DATOS!G367</f>
        <v>0</v>
      </c>
      <c r="H366" s="41">
        <f>REGISTRO_B.DATOS!H367</f>
        <v>0</v>
      </c>
      <c r="I366" s="41">
        <f>REGISTRO_B.DATOS!I367</f>
        <v>0</v>
      </c>
      <c r="J366" s="41">
        <f>REGISTRO_B.DATOS!J367</f>
        <v>0</v>
      </c>
      <c r="K366" s="43">
        <f>REGISTRO_B.DATOS!K367</f>
        <v>0</v>
      </c>
    </row>
    <row r="367" spans="1:11" x14ac:dyDescent="0.25">
      <c r="A367" s="40">
        <f>REGISTRO_B.DATOS!A368</f>
        <v>0</v>
      </c>
      <c r="B367" s="41">
        <f>REGISTRO_B.DATOS!B368</f>
        <v>0</v>
      </c>
      <c r="C367" s="41">
        <f>REGISTRO_B.DATOS!C368</f>
        <v>0</v>
      </c>
      <c r="D367" s="41">
        <f>REGISTRO_B.DATOS!D368</f>
        <v>0</v>
      </c>
      <c r="E367" s="42">
        <f>REGISTRO_B.DATOS!E368</f>
        <v>0</v>
      </c>
      <c r="F367" s="41">
        <f>REGISTRO_B.DATOS!F368</f>
        <v>0</v>
      </c>
      <c r="G367" s="41">
        <f>REGISTRO_B.DATOS!G368</f>
        <v>0</v>
      </c>
      <c r="H367" s="41">
        <f>REGISTRO_B.DATOS!H368</f>
        <v>0</v>
      </c>
      <c r="I367" s="41">
        <f>REGISTRO_B.DATOS!I368</f>
        <v>0</v>
      </c>
      <c r="J367" s="41">
        <f>REGISTRO_B.DATOS!J368</f>
        <v>0</v>
      </c>
      <c r="K367" s="43">
        <f>REGISTRO_B.DATOS!K368</f>
        <v>0</v>
      </c>
    </row>
    <row r="368" spans="1:11" x14ac:dyDescent="0.25">
      <c r="A368" s="40">
        <f>REGISTRO_B.DATOS!A369</f>
        <v>0</v>
      </c>
      <c r="B368" s="41">
        <f>REGISTRO_B.DATOS!B369</f>
        <v>0</v>
      </c>
      <c r="C368" s="41">
        <f>REGISTRO_B.DATOS!C369</f>
        <v>0</v>
      </c>
      <c r="D368" s="41">
        <f>REGISTRO_B.DATOS!D369</f>
        <v>0</v>
      </c>
      <c r="E368" s="42">
        <f>REGISTRO_B.DATOS!E369</f>
        <v>0</v>
      </c>
      <c r="F368" s="41">
        <f>REGISTRO_B.DATOS!F369</f>
        <v>0</v>
      </c>
      <c r="G368" s="41">
        <f>REGISTRO_B.DATOS!G369</f>
        <v>0</v>
      </c>
      <c r="H368" s="41">
        <f>REGISTRO_B.DATOS!H369</f>
        <v>0</v>
      </c>
      <c r="I368" s="41">
        <f>REGISTRO_B.DATOS!I369</f>
        <v>0</v>
      </c>
      <c r="J368" s="41">
        <f>REGISTRO_B.DATOS!J369</f>
        <v>0</v>
      </c>
      <c r="K368" s="43">
        <f>REGISTRO_B.DATOS!K369</f>
        <v>0</v>
      </c>
    </row>
    <row r="369" spans="1:11" x14ac:dyDescent="0.25">
      <c r="A369" s="40">
        <f>REGISTRO_B.DATOS!A370</f>
        <v>0</v>
      </c>
      <c r="B369" s="41">
        <f>REGISTRO_B.DATOS!B370</f>
        <v>0</v>
      </c>
      <c r="C369" s="41">
        <f>REGISTRO_B.DATOS!C370</f>
        <v>0</v>
      </c>
      <c r="D369" s="41">
        <f>REGISTRO_B.DATOS!D370</f>
        <v>0</v>
      </c>
      <c r="E369" s="42">
        <f>REGISTRO_B.DATOS!E370</f>
        <v>0</v>
      </c>
      <c r="F369" s="41">
        <f>REGISTRO_B.DATOS!F370</f>
        <v>0</v>
      </c>
      <c r="G369" s="41">
        <f>REGISTRO_B.DATOS!G370</f>
        <v>0</v>
      </c>
      <c r="H369" s="41">
        <f>REGISTRO_B.DATOS!H370</f>
        <v>0</v>
      </c>
      <c r="I369" s="41">
        <f>REGISTRO_B.DATOS!I370</f>
        <v>0</v>
      </c>
      <c r="J369" s="41">
        <f>REGISTRO_B.DATOS!J370</f>
        <v>0</v>
      </c>
      <c r="K369" s="43">
        <f>REGISTRO_B.DATOS!K370</f>
        <v>0</v>
      </c>
    </row>
    <row r="370" spans="1:11" x14ac:dyDescent="0.25">
      <c r="A370" s="40">
        <f>REGISTRO_B.DATOS!A371</f>
        <v>0</v>
      </c>
      <c r="B370" s="41">
        <f>REGISTRO_B.DATOS!B371</f>
        <v>0</v>
      </c>
      <c r="C370" s="41">
        <f>REGISTRO_B.DATOS!C371</f>
        <v>0</v>
      </c>
      <c r="D370" s="41">
        <f>REGISTRO_B.DATOS!D371</f>
        <v>0</v>
      </c>
      <c r="E370" s="42">
        <f>REGISTRO_B.DATOS!E371</f>
        <v>0</v>
      </c>
      <c r="F370" s="41">
        <f>REGISTRO_B.DATOS!F371</f>
        <v>0</v>
      </c>
      <c r="G370" s="41">
        <f>REGISTRO_B.DATOS!G371</f>
        <v>0</v>
      </c>
      <c r="H370" s="41">
        <f>REGISTRO_B.DATOS!H371</f>
        <v>0</v>
      </c>
      <c r="I370" s="41">
        <f>REGISTRO_B.DATOS!I371</f>
        <v>0</v>
      </c>
      <c r="J370" s="41">
        <f>REGISTRO_B.DATOS!J371</f>
        <v>0</v>
      </c>
      <c r="K370" s="43">
        <f>REGISTRO_B.DATOS!K371</f>
        <v>0</v>
      </c>
    </row>
    <row r="371" spans="1:11" x14ac:dyDescent="0.25">
      <c r="A371" s="40">
        <f>REGISTRO_B.DATOS!A372</f>
        <v>0</v>
      </c>
      <c r="B371" s="41">
        <f>REGISTRO_B.DATOS!B372</f>
        <v>0</v>
      </c>
      <c r="C371" s="41">
        <f>REGISTRO_B.DATOS!C372</f>
        <v>0</v>
      </c>
      <c r="D371" s="41">
        <f>REGISTRO_B.DATOS!D372</f>
        <v>0</v>
      </c>
      <c r="E371" s="42">
        <f>REGISTRO_B.DATOS!E372</f>
        <v>0</v>
      </c>
      <c r="F371" s="41">
        <f>REGISTRO_B.DATOS!F372</f>
        <v>0</v>
      </c>
      <c r="G371" s="41">
        <f>REGISTRO_B.DATOS!G372</f>
        <v>0</v>
      </c>
      <c r="H371" s="41">
        <f>REGISTRO_B.DATOS!H372</f>
        <v>0</v>
      </c>
      <c r="I371" s="41">
        <f>REGISTRO_B.DATOS!I372</f>
        <v>0</v>
      </c>
      <c r="J371" s="41">
        <f>REGISTRO_B.DATOS!J372</f>
        <v>0</v>
      </c>
      <c r="K371" s="43">
        <f>REGISTRO_B.DATOS!K372</f>
        <v>0</v>
      </c>
    </row>
    <row r="372" spans="1:11" x14ac:dyDescent="0.25">
      <c r="A372" s="40">
        <f>REGISTRO_B.DATOS!A373</f>
        <v>0</v>
      </c>
      <c r="B372" s="41">
        <f>REGISTRO_B.DATOS!B373</f>
        <v>0</v>
      </c>
      <c r="C372" s="41">
        <f>REGISTRO_B.DATOS!C373</f>
        <v>0</v>
      </c>
      <c r="D372" s="41">
        <f>REGISTRO_B.DATOS!D373</f>
        <v>0</v>
      </c>
      <c r="E372" s="42">
        <f>REGISTRO_B.DATOS!E373</f>
        <v>0</v>
      </c>
      <c r="F372" s="41">
        <f>REGISTRO_B.DATOS!F373</f>
        <v>0</v>
      </c>
      <c r="G372" s="41">
        <f>REGISTRO_B.DATOS!G373</f>
        <v>0</v>
      </c>
      <c r="H372" s="41">
        <f>REGISTRO_B.DATOS!H373</f>
        <v>0</v>
      </c>
      <c r="I372" s="41">
        <f>REGISTRO_B.DATOS!I373</f>
        <v>0</v>
      </c>
      <c r="J372" s="41">
        <f>REGISTRO_B.DATOS!J373</f>
        <v>0</v>
      </c>
      <c r="K372" s="43">
        <f>REGISTRO_B.DATOS!K373</f>
        <v>0</v>
      </c>
    </row>
    <row r="373" spans="1:11" x14ac:dyDescent="0.25">
      <c r="A373" s="40">
        <f>REGISTRO_B.DATOS!A374</f>
        <v>0</v>
      </c>
      <c r="B373" s="41">
        <f>REGISTRO_B.DATOS!B374</f>
        <v>0</v>
      </c>
      <c r="C373" s="41">
        <f>REGISTRO_B.DATOS!C374</f>
        <v>0</v>
      </c>
      <c r="D373" s="41">
        <f>REGISTRO_B.DATOS!D374</f>
        <v>0</v>
      </c>
      <c r="E373" s="42">
        <f>REGISTRO_B.DATOS!E374</f>
        <v>0</v>
      </c>
      <c r="F373" s="41">
        <f>REGISTRO_B.DATOS!F374</f>
        <v>0</v>
      </c>
      <c r="G373" s="41">
        <f>REGISTRO_B.DATOS!G374</f>
        <v>0</v>
      </c>
      <c r="H373" s="41">
        <f>REGISTRO_B.DATOS!H374</f>
        <v>0</v>
      </c>
      <c r="I373" s="41">
        <f>REGISTRO_B.DATOS!I374</f>
        <v>0</v>
      </c>
      <c r="J373" s="41">
        <f>REGISTRO_B.DATOS!J374</f>
        <v>0</v>
      </c>
      <c r="K373" s="43">
        <f>REGISTRO_B.DATOS!K374</f>
        <v>0</v>
      </c>
    </row>
    <row r="374" spans="1:11" x14ac:dyDescent="0.25">
      <c r="A374" s="40">
        <f>REGISTRO_B.DATOS!A375</f>
        <v>0</v>
      </c>
      <c r="B374" s="41">
        <f>REGISTRO_B.DATOS!B375</f>
        <v>0</v>
      </c>
      <c r="C374" s="41">
        <f>REGISTRO_B.DATOS!C375</f>
        <v>0</v>
      </c>
      <c r="D374" s="41">
        <f>REGISTRO_B.DATOS!D375</f>
        <v>0</v>
      </c>
      <c r="E374" s="42">
        <f>REGISTRO_B.DATOS!E375</f>
        <v>0</v>
      </c>
      <c r="F374" s="41">
        <f>REGISTRO_B.DATOS!F375</f>
        <v>0</v>
      </c>
      <c r="G374" s="41">
        <f>REGISTRO_B.DATOS!G375</f>
        <v>0</v>
      </c>
      <c r="H374" s="41">
        <f>REGISTRO_B.DATOS!H375</f>
        <v>0</v>
      </c>
      <c r="I374" s="41">
        <f>REGISTRO_B.DATOS!I375</f>
        <v>0</v>
      </c>
      <c r="J374" s="41">
        <f>REGISTRO_B.DATOS!J375</f>
        <v>0</v>
      </c>
      <c r="K374" s="43">
        <f>REGISTRO_B.DATOS!K375</f>
        <v>0</v>
      </c>
    </row>
    <row r="375" spans="1:11" x14ac:dyDescent="0.25">
      <c r="A375" s="40">
        <f>REGISTRO_B.DATOS!A376</f>
        <v>0</v>
      </c>
      <c r="B375" s="41">
        <f>REGISTRO_B.DATOS!B376</f>
        <v>0</v>
      </c>
      <c r="C375" s="41">
        <f>REGISTRO_B.DATOS!C376</f>
        <v>0</v>
      </c>
      <c r="D375" s="41">
        <f>REGISTRO_B.DATOS!D376</f>
        <v>0</v>
      </c>
      <c r="E375" s="42">
        <f>REGISTRO_B.DATOS!E376</f>
        <v>0</v>
      </c>
      <c r="F375" s="41">
        <f>REGISTRO_B.DATOS!F376</f>
        <v>0</v>
      </c>
      <c r="G375" s="41">
        <f>REGISTRO_B.DATOS!G376</f>
        <v>0</v>
      </c>
      <c r="H375" s="41">
        <f>REGISTRO_B.DATOS!H376</f>
        <v>0</v>
      </c>
      <c r="I375" s="41">
        <f>REGISTRO_B.DATOS!I376</f>
        <v>0</v>
      </c>
      <c r="J375" s="41">
        <f>REGISTRO_B.DATOS!J376</f>
        <v>0</v>
      </c>
      <c r="K375" s="43">
        <f>REGISTRO_B.DATOS!K376</f>
        <v>0</v>
      </c>
    </row>
    <row r="376" spans="1:11" x14ac:dyDescent="0.25">
      <c r="A376" s="40">
        <f>REGISTRO_B.DATOS!A377</f>
        <v>0</v>
      </c>
      <c r="B376" s="41">
        <f>REGISTRO_B.DATOS!B377</f>
        <v>0</v>
      </c>
      <c r="C376" s="41">
        <f>REGISTRO_B.DATOS!C377</f>
        <v>0</v>
      </c>
      <c r="D376" s="41">
        <f>REGISTRO_B.DATOS!D377</f>
        <v>0</v>
      </c>
      <c r="E376" s="42">
        <f>REGISTRO_B.DATOS!E377</f>
        <v>0</v>
      </c>
      <c r="F376" s="41">
        <f>REGISTRO_B.DATOS!F377</f>
        <v>0</v>
      </c>
      <c r="G376" s="41">
        <f>REGISTRO_B.DATOS!G377</f>
        <v>0</v>
      </c>
      <c r="H376" s="41">
        <f>REGISTRO_B.DATOS!H377</f>
        <v>0</v>
      </c>
      <c r="I376" s="41">
        <f>REGISTRO_B.DATOS!I377</f>
        <v>0</v>
      </c>
      <c r="J376" s="41">
        <f>REGISTRO_B.DATOS!J377</f>
        <v>0</v>
      </c>
      <c r="K376" s="43">
        <f>REGISTRO_B.DATOS!K377</f>
        <v>0</v>
      </c>
    </row>
    <row r="377" spans="1:11" x14ac:dyDescent="0.25">
      <c r="A377" s="40">
        <f>REGISTRO_B.DATOS!A378</f>
        <v>0</v>
      </c>
      <c r="B377" s="41">
        <f>REGISTRO_B.DATOS!B378</f>
        <v>0</v>
      </c>
      <c r="C377" s="41">
        <f>REGISTRO_B.DATOS!C378</f>
        <v>0</v>
      </c>
      <c r="D377" s="41">
        <f>REGISTRO_B.DATOS!D378</f>
        <v>0</v>
      </c>
      <c r="E377" s="42">
        <f>REGISTRO_B.DATOS!E378</f>
        <v>0</v>
      </c>
      <c r="F377" s="41">
        <f>REGISTRO_B.DATOS!F378</f>
        <v>0</v>
      </c>
      <c r="G377" s="41">
        <f>REGISTRO_B.DATOS!G378</f>
        <v>0</v>
      </c>
      <c r="H377" s="41">
        <f>REGISTRO_B.DATOS!H378</f>
        <v>0</v>
      </c>
      <c r="I377" s="41">
        <f>REGISTRO_B.DATOS!I378</f>
        <v>0</v>
      </c>
      <c r="J377" s="41">
        <f>REGISTRO_B.DATOS!J378</f>
        <v>0</v>
      </c>
      <c r="K377" s="43">
        <f>REGISTRO_B.DATOS!K378</f>
        <v>0</v>
      </c>
    </row>
    <row r="378" spans="1:11" x14ac:dyDescent="0.25">
      <c r="A378" s="40">
        <f>REGISTRO_B.DATOS!A379</f>
        <v>0</v>
      </c>
      <c r="B378" s="41">
        <f>REGISTRO_B.DATOS!B379</f>
        <v>0</v>
      </c>
      <c r="C378" s="41">
        <f>REGISTRO_B.DATOS!C379</f>
        <v>0</v>
      </c>
      <c r="D378" s="41">
        <f>REGISTRO_B.DATOS!D379</f>
        <v>0</v>
      </c>
      <c r="E378" s="42">
        <f>REGISTRO_B.DATOS!E379</f>
        <v>0</v>
      </c>
      <c r="F378" s="41">
        <f>REGISTRO_B.DATOS!F379</f>
        <v>0</v>
      </c>
      <c r="G378" s="41">
        <f>REGISTRO_B.DATOS!G379</f>
        <v>0</v>
      </c>
      <c r="H378" s="41">
        <f>REGISTRO_B.DATOS!H379</f>
        <v>0</v>
      </c>
      <c r="I378" s="41">
        <f>REGISTRO_B.DATOS!I379</f>
        <v>0</v>
      </c>
      <c r="J378" s="41">
        <f>REGISTRO_B.DATOS!J379</f>
        <v>0</v>
      </c>
      <c r="K378" s="43">
        <f>REGISTRO_B.DATOS!K379</f>
        <v>0</v>
      </c>
    </row>
    <row r="379" spans="1:11" x14ac:dyDescent="0.25">
      <c r="A379" s="40">
        <f>REGISTRO_B.DATOS!A380</f>
        <v>0</v>
      </c>
      <c r="B379" s="41">
        <f>REGISTRO_B.DATOS!B380</f>
        <v>0</v>
      </c>
      <c r="C379" s="41">
        <f>REGISTRO_B.DATOS!C380</f>
        <v>0</v>
      </c>
      <c r="D379" s="41">
        <f>REGISTRO_B.DATOS!D380</f>
        <v>0</v>
      </c>
      <c r="E379" s="42">
        <f>REGISTRO_B.DATOS!E380</f>
        <v>0</v>
      </c>
      <c r="F379" s="41">
        <f>REGISTRO_B.DATOS!F380</f>
        <v>0</v>
      </c>
      <c r="G379" s="41">
        <f>REGISTRO_B.DATOS!G380</f>
        <v>0</v>
      </c>
      <c r="H379" s="41">
        <f>REGISTRO_B.DATOS!H380</f>
        <v>0</v>
      </c>
      <c r="I379" s="41">
        <f>REGISTRO_B.DATOS!I380</f>
        <v>0</v>
      </c>
      <c r="J379" s="41">
        <f>REGISTRO_B.DATOS!J380</f>
        <v>0</v>
      </c>
      <c r="K379" s="43">
        <f>REGISTRO_B.DATOS!K380</f>
        <v>0</v>
      </c>
    </row>
    <row r="380" spans="1:11" x14ac:dyDescent="0.25">
      <c r="A380" s="40">
        <f>REGISTRO_B.DATOS!A381</f>
        <v>0</v>
      </c>
      <c r="B380" s="41">
        <f>REGISTRO_B.DATOS!B381</f>
        <v>0</v>
      </c>
      <c r="C380" s="41">
        <f>REGISTRO_B.DATOS!C381</f>
        <v>0</v>
      </c>
      <c r="D380" s="41">
        <f>REGISTRO_B.DATOS!D381</f>
        <v>0</v>
      </c>
      <c r="E380" s="42">
        <f>REGISTRO_B.DATOS!E381</f>
        <v>0</v>
      </c>
      <c r="F380" s="41">
        <f>REGISTRO_B.DATOS!F381</f>
        <v>0</v>
      </c>
      <c r="G380" s="41">
        <f>REGISTRO_B.DATOS!G381</f>
        <v>0</v>
      </c>
      <c r="H380" s="41">
        <f>REGISTRO_B.DATOS!H381</f>
        <v>0</v>
      </c>
      <c r="I380" s="41">
        <f>REGISTRO_B.DATOS!I381</f>
        <v>0</v>
      </c>
      <c r="J380" s="41">
        <f>REGISTRO_B.DATOS!J381</f>
        <v>0</v>
      </c>
      <c r="K380" s="43">
        <f>REGISTRO_B.DATOS!K381</f>
        <v>0</v>
      </c>
    </row>
    <row r="381" spans="1:11" x14ac:dyDescent="0.25">
      <c r="A381" s="40">
        <f>REGISTRO_B.DATOS!A382</f>
        <v>0</v>
      </c>
      <c r="B381" s="41">
        <f>REGISTRO_B.DATOS!B382</f>
        <v>0</v>
      </c>
      <c r="C381" s="41">
        <f>REGISTRO_B.DATOS!C382</f>
        <v>0</v>
      </c>
      <c r="D381" s="41">
        <f>REGISTRO_B.DATOS!D382</f>
        <v>0</v>
      </c>
      <c r="E381" s="42">
        <f>REGISTRO_B.DATOS!E382</f>
        <v>0</v>
      </c>
      <c r="F381" s="41">
        <f>REGISTRO_B.DATOS!F382</f>
        <v>0</v>
      </c>
      <c r="G381" s="41">
        <f>REGISTRO_B.DATOS!G382</f>
        <v>0</v>
      </c>
      <c r="H381" s="41">
        <f>REGISTRO_B.DATOS!H382</f>
        <v>0</v>
      </c>
      <c r="I381" s="41">
        <f>REGISTRO_B.DATOS!I382</f>
        <v>0</v>
      </c>
      <c r="J381" s="41">
        <f>REGISTRO_B.DATOS!J382</f>
        <v>0</v>
      </c>
      <c r="K381" s="43">
        <f>REGISTRO_B.DATOS!K382</f>
        <v>0</v>
      </c>
    </row>
    <row r="382" spans="1:11" x14ac:dyDescent="0.25">
      <c r="A382" s="40">
        <f>REGISTRO_B.DATOS!A383</f>
        <v>0</v>
      </c>
      <c r="B382" s="41">
        <f>REGISTRO_B.DATOS!B383</f>
        <v>0</v>
      </c>
      <c r="C382" s="41">
        <f>REGISTRO_B.DATOS!C383</f>
        <v>0</v>
      </c>
      <c r="D382" s="41">
        <f>REGISTRO_B.DATOS!D383</f>
        <v>0</v>
      </c>
      <c r="E382" s="42">
        <f>REGISTRO_B.DATOS!E383</f>
        <v>0</v>
      </c>
      <c r="F382" s="41">
        <f>REGISTRO_B.DATOS!F383</f>
        <v>0</v>
      </c>
      <c r="G382" s="41">
        <f>REGISTRO_B.DATOS!G383</f>
        <v>0</v>
      </c>
      <c r="H382" s="41">
        <f>REGISTRO_B.DATOS!H383</f>
        <v>0</v>
      </c>
      <c r="I382" s="41">
        <f>REGISTRO_B.DATOS!I383</f>
        <v>0</v>
      </c>
      <c r="J382" s="41">
        <f>REGISTRO_B.DATOS!J383</f>
        <v>0</v>
      </c>
      <c r="K382" s="43">
        <f>REGISTRO_B.DATOS!K383</f>
        <v>0</v>
      </c>
    </row>
    <row r="383" spans="1:11" x14ac:dyDescent="0.25">
      <c r="A383" s="40">
        <f>REGISTRO_B.DATOS!A384</f>
        <v>0</v>
      </c>
      <c r="B383" s="41">
        <f>REGISTRO_B.DATOS!B384</f>
        <v>0</v>
      </c>
      <c r="C383" s="41">
        <f>REGISTRO_B.DATOS!C384</f>
        <v>0</v>
      </c>
      <c r="D383" s="41">
        <f>REGISTRO_B.DATOS!D384</f>
        <v>0</v>
      </c>
      <c r="E383" s="42">
        <f>REGISTRO_B.DATOS!E384</f>
        <v>0</v>
      </c>
      <c r="F383" s="41">
        <f>REGISTRO_B.DATOS!F384</f>
        <v>0</v>
      </c>
      <c r="G383" s="41">
        <f>REGISTRO_B.DATOS!G384</f>
        <v>0</v>
      </c>
      <c r="H383" s="41">
        <f>REGISTRO_B.DATOS!H384</f>
        <v>0</v>
      </c>
      <c r="I383" s="41">
        <f>REGISTRO_B.DATOS!I384</f>
        <v>0</v>
      </c>
      <c r="J383" s="41">
        <f>REGISTRO_B.DATOS!J384</f>
        <v>0</v>
      </c>
      <c r="K383" s="43">
        <f>REGISTRO_B.DATOS!K384</f>
        <v>0</v>
      </c>
    </row>
    <row r="384" spans="1:11" x14ac:dyDescent="0.25">
      <c r="A384" s="40">
        <f>REGISTRO_B.DATOS!A385</f>
        <v>0</v>
      </c>
      <c r="B384" s="41">
        <f>REGISTRO_B.DATOS!B385</f>
        <v>0</v>
      </c>
      <c r="C384" s="41">
        <f>REGISTRO_B.DATOS!C385</f>
        <v>0</v>
      </c>
      <c r="D384" s="41">
        <f>REGISTRO_B.DATOS!D385</f>
        <v>0</v>
      </c>
      <c r="E384" s="42">
        <f>REGISTRO_B.DATOS!E385</f>
        <v>0</v>
      </c>
      <c r="F384" s="41">
        <f>REGISTRO_B.DATOS!F385</f>
        <v>0</v>
      </c>
      <c r="G384" s="41">
        <f>REGISTRO_B.DATOS!G385</f>
        <v>0</v>
      </c>
      <c r="H384" s="41">
        <f>REGISTRO_B.DATOS!H385</f>
        <v>0</v>
      </c>
      <c r="I384" s="41">
        <f>REGISTRO_B.DATOS!I385</f>
        <v>0</v>
      </c>
      <c r="J384" s="41">
        <f>REGISTRO_B.DATOS!J385</f>
        <v>0</v>
      </c>
      <c r="K384" s="43">
        <f>REGISTRO_B.DATOS!K385</f>
        <v>0</v>
      </c>
    </row>
    <row r="385" spans="1:11" x14ac:dyDescent="0.25">
      <c r="A385" s="40">
        <f>REGISTRO_B.DATOS!A386</f>
        <v>0</v>
      </c>
      <c r="B385" s="41">
        <f>REGISTRO_B.DATOS!B386</f>
        <v>0</v>
      </c>
      <c r="C385" s="41">
        <f>REGISTRO_B.DATOS!C386</f>
        <v>0</v>
      </c>
      <c r="D385" s="41">
        <f>REGISTRO_B.DATOS!D386</f>
        <v>0</v>
      </c>
      <c r="E385" s="42">
        <f>REGISTRO_B.DATOS!E386</f>
        <v>0</v>
      </c>
      <c r="F385" s="41">
        <f>REGISTRO_B.DATOS!F386</f>
        <v>0</v>
      </c>
      <c r="G385" s="41">
        <f>REGISTRO_B.DATOS!G386</f>
        <v>0</v>
      </c>
      <c r="H385" s="41">
        <f>REGISTRO_B.DATOS!H386</f>
        <v>0</v>
      </c>
      <c r="I385" s="41">
        <f>REGISTRO_B.DATOS!I386</f>
        <v>0</v>
      </c>
      <c r="J385" s="41">
        <f>REGISTRO_B.DATOS!J386</f>
        <v>0</v>
      </c>
      <c r="K385" s="43">
        <f>REGISTRO_B.DATOS!K386</f>
        <v>0</v>
      </c>
    </row>
    <row r="386" spans="1:11" x14ac:dyDescent="0.25">
      <c r="A386" s="40">
        <f>REGISTRO_B.DATOS!A387</f>
        <v>0</v>
      </c>
      <c r="B386" s="41">
        <f>REGISTRO_B.DATOS!B387</f>
        <v>0</v>
      </c>
      <c r="C386" s="41">
        <f>REGISTRO_B.DATOS!C387</f>
        <v>0</v>
      </c>
      <c r="D386" s="41">
        <f>REGISTRO_B.DATOS!D387</f>
        <v>0</v>
      </c>
      <c r="E386" s="42">
        <f>REGISTRO_B.DATOS!E387</f>
        <v>0</v>
      </c>
      <c r="F386" s="41">
        <f>REGISTRO_B.DATOS!F387</f>
        <v>0</v>
      </c>
      <c r="G386" s="41">
        <f>REGISTRO_B.DATOS!G387</f>
        <v>0</v>
      </c>
      <c r="H386" s="41">
        <f>REGISTRO_B.DATOS!H387</f>
        <v>0</v>
      </c>
      <c r="I386" s="41">
        <f>REGISTRO_B.DATOS!I387</f>
        <v>0</v>
      </c>
      <c r="J386" s="41">
        <f>REGISTRO_B.DATOS!J387</f>
        <v>0</v>
      </c>
      <c r="K386" s="43">
        <f>REGISTRO_B.DATOS!K387</f>
        <v>0</v>
      </c>
    </row>
    <row r="387" spans="1:11" x14ac:dyDescent="0.25">
      <c r="A387" s="40">
        <f>REGISTRO_B.DATOS!A388</f>
        <v>0</v>
      </c>
      <c r="B387" s="41">
        <f>REGISTRO_B.DATOS!B388</f>
        <v>0</v>
      </c>
      <c r="C387" s="41">
        <f>REGISTRO_B.DATOS!C388</f>
        <v>0</v>
      </c>
      <c r="D387" s="41">
        <f>REGISTRO_B.DATOS!D388</f>
        <v>0</v>
      </c>
      <c r="E387" s="42">
        <f>REGISTRO_B.DATOS!E388</f>
        <v>0</v>
      </c>
      <c r="F387" s="41">
        <f>REGISTRO_B.DATOS!F388</f>
        <v>0</v>
      </c>
      <c r="G387" s="41">
        <f>REGISTRO_B.DATOS!G388</f>
        <v>0</v>
      </c>
      <c r="H387" s="41">
        <f>REGISTRO_B.DATOS!H388</f>
        <v>0</v>
      </c>
      <c r="I387" s="41">
        <f>REGISTRO_B.DATOS!I388</f>
        <v>0</v>
      </c>
      <c r="J387" s="41">
        <f>REGISTRO_B.DATOS!J388</f>
        <v>0</v>
      </c>
      <c r="K387" s="43">
        <f>REGISTRO_B.DATOS!K388</f>
        <v>0</v>
      </c>
    </row>
    <row r="388" spans="1:11" x14ac:dyDescent="0.25">
      <c r="A388" s="40">
        <f>REGISTRO_B.DATOS!A389</f>
        <v>0</v>
      </c>
      <c r="B388" s="41">
        <f>REGISTRO_B.DATOS!B389</f>
        <v>0</v>
      </c>
      <c r="C388" s="41">
        <f>REGISTRO_B.DATOS!C389</f>
        <v>0</v>
      </c>
      <c r="D388" s="41">
        <f>REGISTRO_B.DATOS!D389</f>
        <v>0</v>
      </c>
      <c r="E388" s="42">
        <f>REGISTRO_B.DATOS!E389</f>
        <v>0</v>
      </c>
      <c r="F388" s="41">
        <f>REGISTRO_B.DATOS!F389</f>
        <v>0</v>
      </c>
      <c r="G388" s="41">
        <f>REGISTRO_B.DATOS!G389</f>
        <v>0</v>
      </c>
      <c r="H388" s="41">
        <f>REGISTRO_B.DATOS!H389</f>
        <v>0</v>
      </c>
      <c r="I388" s="41">
        <f>REGISTRO_B.DATOS!I389</f>
        <v>0</v>
      </c>
      <c r="J388" s="41">
        <f>REGISTRO_B.DATOS!J389</f>
        <v>0</v>
      </c>
      <c r="K388" s="43">
        <f>REGISTRO_B.DATOS!K389</f>
        <v>0</v>
      </c>
    </row>
    <row r="389" spans="1:11" x14ac:dyDescent="0.25">
      <c r="A389" s="40">
        <f>REGISTRO_B.DATOS!A390</f>
        <v>0</v>
      </c>
      <c r="B389" s="41">
        <f>REGISTRO_B.DATOS!B390</f>
        <v>0</v>
      </c>
      <c r="C389" s="41">
        <f>REGISTRO_B.DATOS!C390</f>
        <v>0</v>
      </c>
      <c r="D389" s="41">
        <f>REGISTRO_B.DATOS!D390</f>
        <v>0</v>
      </c>
      <c r="E389" s="42">
        <f>REGISTRO_B.DATOS!E390</f>
        <v>0</v>
      </c>
      <c r="F389" s="41">
        <f>REGISTRO_B.DATOS!F390</f>
        <v>0</v>
      </c>
      <c r="G389" s="41">
        <f>REGISTRO_B.DATOS!G390</f>
        <v>0</v>
      </c>
      <c r="H389" s="41">
        <f>REGISTRO_B.DATOS!H390</f>
        <v>0</v>
      </c>
      <c r="I389" s="41">
        <f>REGISTRO_B.DATOS!I390</f>
        <v>0</v>
      </c>
      <c r="J389" s="41">
        <f>REGISTRO_B.DATOS!J390</f>
        <v>0</v>
      </c>
      <c r="K389" s="43">
        <f>REGISTRO_B.DATOS!K390</f>
        <v>0</v>
      </c>
    </row>
    <row r="390" spans="1:11" x14ac:dyDescent="0.25">
      <c r="A390" s="40">
        <f>REGISTRO_B.DATOS!A391</f>
        <v>0</v>
      </c>
      <c r="B390" s="41">
        <f>REGISTRO_B.DATOS!B391</f>
        <v>0</v>
      </c>
      <c r="C390" s="41">
        <f>REGISTRO_B.DATOS!C391</f>
        <v>0</v>
      </c>
      <c r="D390" s="41">
        <f>REGISTRO_B.DATOS!D391</f>
        <v>0</v>
      </c>
      <c r="E390" s="42">
        <f>REGISTRO_B.DATOS!E391</f>
        <v>0</v>
      </c>
      <c r="F390" s="41">
        <f>REGISTRO_B.DATOS!F391</f>
        <v>0</v>
      </c>
      <c r="G390" s="41">
        <f>REGISTRO_B.DATOS!G391</f>
        <v>0</v>
      </c>
      <c r="H390" s="41">
        <f>REGISTRO_B.DATOS!H391</f>
        <v>0</v>
      </c>
      <c r="I390" s="41">
        <f>REGISTRO_B.DATOS!I391</f>
        <v>0</v>
      </c>
      <c r="J390" s="41">
        <f>REGISTRO_B.DATOS!J391</f>
        <v>0</v>
      </c>
      <c r="K390" s="43">
        <f>REGISTRO_B.DATOS!K391</f>
        <v>0</v>
      </c>
    </row>
    <row r="391" spans="1:11" x14ac:dyDescent="0.25">
      <c r="A391" s="40">
        <f>REGISTRO_B.DATOS!A392</f>
        <v>0</v>
      </c>
      <c r="B391" s="41">
        <f>REGISTRO_B.DATOS!B392</f>
        <v>0</v>
      </c>
      <c r="C391" s="41">
        <f>REGISTRO_B.DATOS!C392</f>
        <v>0</v>
      </c>
      <c r="D391" s="41">
        <f>REGISTRO_B.DATOS!D392</f>
        <v>0</v>
      </c>
      <c r="E391" s="42">
        <f>REGISTRO_B.DATOS!E392</f>
        <v>0</v>
      </c>
      <c r="F391" s="41">
        <f>REGISTRO_B.DATOS!F392</f>
        <v>0</v>
      </c>
      <c r="G391" s="41">
        <f>REGISTRO_B.DATOS!G392</f>
        <v>0</v>
      </c>
      <c r="H391" s="41">
        <f>REGISTRO_B.DATOS!H392</f>
        <v>0</v>
      </c>
      <c r="I391" s="41">
        <f>REGISTRO_B.DATOS!I392</f>
        <v>0</v>
      </c>
      <c r="J391" s="41">
        <f>REGISTRO_B.DATOS!J392</f>
        <v>0</v>
      </c>
      <c r="K391" s="43">
        <f>REGISTRO_B.DATOS!K392</f>
        <v>0</v>
      </c>
    </row>
    <row r="392" spans="1:11" x14ac:dyDescent="0.25">
      <c r="A392" s="40">
        <f>REGISTRO_B.DATOS!A393</f>
        <v>0</v>
      </c>
      <c r="B392" s="41">
        <f>REGISTRO_B.DATOS!B393</f>
        <v>0</v>
      </c>
      <c r="C392" s="41">
        <f>REGISTRO_B.DATOS!C393</f>
        <v>0</v>
      </c>
      <c r="D392" s="41">
        <f>REGISTRO_B.DATOS!D393</f>
        <v>0</v>
      </c>
      <c r="E392" s="42">
        <f>REGISTRO_B.DATOS!E393</f>
        <v>0</v>
      </c>
      <c r="F392" s="41">
        <f>REGISTRO_B.DATOS!F393</f>
        <v>0</v>
      </c>
      <c r="G392" s="41">
        <f>REGISTRO_B.DATOS!G393</f>
        <v>0</v>
      </c>
      <c r="H392" s="41">
        <f>REGISTRO_B.DATOS!H393</f>
        <v>0</v>
      </c>
      <c r="I392" s="41">
        <f>REGISTRO_B.DATOS!I393</f>
        <v>0</v>
      </c>
      <c r="J392" s="41">
        <f>REGISTRO_B.DATOS!J393</f>
        <v>0</v>
      </c>
      <c r="K392" s="43">
        <f>REGISTRO_B.DATOS!K393</f>
        <v>0</v>
      </c>
    </row>
    <row r="393" spans="1:11" x14ac:dyDescent="0.25">
      <c r="A393" s="40">
        <f>REGISTRO_B.DATOS!A394</f>
        <v>0</v>
      </c>
      <c r="B393" s="41">
        <f>REGISTRO_B.DATOS!B394</f>
        <v>0</v>
      </c>
      <c r="C393" s="41">
        <f>REGISTRO_B.DATOS!C394</f>
        <v>0</v>
      </c>
      <c r="D393" s="41">
        <f>REGISTRO_B.DATOS!D394</f>
        <v>0</v>
      </c>
      <c r="E393" s="42">
        <f>REGISTRO_B.DATOS!E394</f>
        <v>0</v>
      </c>
      <c r="F393" s="41">
        <f>REGISTRO_B.DATOS!F394</f>
        <v>0</v>
      </c>
      <c r="G393" s="41">
        <f>REGISTRO_B.DATOS!G394</f>
        <v>0</v>
      </c>
      <c r="H393" s="41">
        <f>REGISTRO_B.DATOS!H394</f>
        <v>0</v>
      </c>
      <c r="I393" s="41">
        <f>REGISTRO_B.DATOS!I394</f>
        <v>0</v>
      </c>
      <c r="J393" s="41">
        <f>REGISTRO_B.DATOS!J394</f>
        <v>0</v>
      </c>
      <c r="K393" s="43">
        <f>REGISTRO_B.DATOS!K394</f>
        <v>0</v>
      </c>
    </row>
    <row r="394" spans="1:11" x14ac:dyDescent="0.25">
      <c r="A394" s="40">
        <f>REGISTRO_B.DATOS!A395</f>
        <v>0</v>
      </c>
      <c r="B394" s="41">
        <f>REGISTRO_B.DATOS!B395</f>
        <v>0</v>
      </c>
      <c r="C394" s="41">
        <f>REGISTRO_B.DATOS!C395</f>
        <v>0</v>
      </c>
      <c r="D394" s="41">
        <f>REGISTRO_B.DATOS!D395</f>
        <v>0</v>
      </c>
      <c r="E394" s="42">
        <f>REGISTRO_B.DATOS!E395</f>
        <v>0</v>
      </c>
      <c r="F394" s="41">
        <f>REGISTRO_B.DATOS!F395</f>
        <v>0</v>
      </c>
      <c r="G394" s="41">
        <f>REGISTRO_B.DATOS!G395</f>
        <v>0</v>
      </c>
      <c r="H394" s="41">
        <f>REGISTRO_B.DATOS!H395</f>
        <v>0</v>
      </c>
      <c r="I394" s="41">
        <f>REGISTRO_B.DATOS!I395</f>
        <v>0</v>
      </c>
      <c r="J394" s="41">
        <f>REGISTRO_B.DATOS!J395</f>
        <v>0</v>
      </c>
      <c r="K394" s="43">
        <f>REGISTRO_B.DATOS!K395</f>
        <v>0</v>
      </c>
    </row>
    <row r="395" spans="1:11" x14ac:dyDescent="0.25">
      <c r="A395" s="40">
        <f>REGISTRO_B.DATOS!A396</f>
        <v>0</v>
      </c>
      <c r="B395" s="41">
        <f>REGISTRO_B.DATOS!B396</f>
        <v>0</v>
      </c>
      <c r="C395" s="41">
        <f>REGISTRO_B.DATOS!C396</f>
        <v>0</v>
      </c>
      <c r="D395" s="41">
        <f>REGISTRO_B.DATOS!D396</f>
        <v>0</v>
      </c>
      <c r="E395" s="42">
        <f>REGISTRO_B.DATOS!E396</f>
        <v>0</v>
      </c>
      <c r="F395" s="41">
        <f>REGISTRO_B.DATOS!F396</f>
        <v>0</v>
      </c>
      <c r="G395" s="41">
        <f>REGISTRO_B.DATOS!G396</f>
        <v>0</v>
      </c>
      <c r="H395" s="41">
        <f>REGISTRO_B.DATOS!H396</f>
        <v>0</v>
      </c>
      <c r="I395" s="41">
        <f>REGISTRO_B.DATOS!I396</f>
        <v>0</v>
      </c>
      <c r="J395" s="41">
        <f>REGISTRO_B.DATOS!J396</f>
        <v>0</v>
      </c>
      <c r="K395" s="43">
        <f>REGISTRO_B.DATOS!K396</f>
        <v>0</v>
      </c>
    </row>
    <row r="396" spans="1:11" x14ac:dyDescent="0.25">
      <c r="A396" s="40">
        <f>REGISTRO_B.DATOS!A397</f>
        <v>0</v>
      </c>
      <c r="B396" s="41">
        <f>REGISTRO_B.DATOS!B397</f>
        <v>0</v>
      </c>
      <c r="C396" s="41">
        <f>REGISTRO_B.DATOS!C397</f>
        <v>0</v>
      </c>
      <c r="D396" s="41">
        <f>REGISTRO_B.DATOS!D397</f>
        <v>0</v>
      </c>
      <c r="E396" s="42">
        <f>REGISTRO_B.DATOS!E397</f>
        <v>0</v>
      </c>
      <c r="F396" s="41">
        <f>REGISTRO_B.DATOS!F397</f>
        <v>0</v>
      </c>
      <c r="G396" s="41">
        <f>REGISTRO_B.DATOS!G397</f>
        <v>0</v>
      </c>
      <c r="H396" s="41">
        <f>REGISTRO_B.DATOS!H397</f>
        <v>0</v>
      </c>
      <c r="I396" s="41">
        <f>REGISTRO_B.DATOS!I397</f>
        <v>0</v>
      </c>
      <c r="J396" s="41">
        <f>REGISTRO_B.DATOS!J397</f>
        <v>0</v>
      </c>
      <c r="K396" s="43">
        <f>REGISTRO_B.DATOS!K397</f>
        <v>0</v>
      </c>
    </row>
    <row r="397" spans="1:11" x14ac:dyDescent="0.25">
      <c r="A397" s="40">
        <f>REGISTRO_B.DATOS!A398</f>
        <v>0</v>
      </c>
      <c r="B397" s="41">
        <f>REGISTRO_B.DATOS!B398</f>
        <v>0</v>
      </c>
      <c r="C397" s="41">
        <f>REGISTRO_B.DATOS!C398</f>
        <v>0</v>
      </c>
      <c r="D397" s="41">
        <f>REGISTRO_B.DATOS!D398</f>
        <v>0</v>
      </c>
      <c r="E397" s="42">
        <f>REGISTRO_B.DATOS!E398</f>
        <v>0</v>
      </c>
      <c r="F397" s="41">
        <f>REGISTRO_B.DATOS!F398</f>
        <v>0</v>
      </c>
      <c r="G397" s="41">
        <f>REGISTRO_B.DATOS!G398</f>
        <v>0</v>
      </c>
      <c r="H397" s="41">
        <f>REGISTRO_B.DATOS!H398</f>
        <v>0</v>
      </c>
      <c r="I397" s="41">
        <f>REGISTRO_B.DATOS!I398</f>
        <v>0</v>
      </c>
      <c r="J397" s="41">
        <f>REGISTRO_B.DATOS!J398</f>
        <v>0</v>
      </c>
      <c r="K397" s="43">
        <f>REGISTRO_B.DATOS!K398</f>
        <v>0</v>
      </c>
    </row>
    <row r="398" spans="1:11" x14ac:dyDescent="0.25">
      <c r="A398" s="40">
        <f>REGISTRO_B.DATOS!A399</f>
        <v>0</v>
      </c>
      <c r="B398" s="41">
        <f>REGISTRO_B.DATOS!B399</f>
        <v>0</v>
      </c>
      <c r="C398" s="41">
        <f>REGISTRO_B.DATOS!C399</f>
        <v>0</v>
      </c>
      <c r="D398" s="41">
        <f>REGISTRO_B.DATOS!D399</f>
        <v>0</v>
      </c>
      <c r="E398" s="42">
        <f>REGISTRO_B.DATOS!E399</f>
        <v>0</v>
      </c>
      <c r="F398" s="41">
        <f>REGISTRO_B.DATOS!F399</f>
        <v>0</v>
      </c>
      <c r="G398" s="41">
        <f>REGISTRO_B.DATOS!G399</f>
        <v>0</v>
      </c>
      <c r="H398" s="41">
        <f>REGISTRO_B.DATOS!H399</f>
        <v>0</v>
      </c>
      <c r="I398" s="41">
        <f>REGISTRO_B.DATOS!I399</f>
        <v>0</v>
      </c>
      <c r="J398" s="41">
        <f>REGISTRO_B.DATOS!J399</f>
        <v>0</v>
      </c>
      <c r="K398" s="43">
        <f>REGISTRO_B.DATOS!K399</f>
        <v>0</v>
      </c>
    </row>
    <row r="399" spans="1:11" x14ac:dyDescent="0.25">
      <c r="A399" s="40">
        <f>REGISTRO_B.DATOS!A400</f>
        <v>0</v>
      </c>
      <c r="B399" s="41">
        <f>REGISTRO_B.DATOS!B400</f>
        <v>0</v>
      </c>
      <c r="C399" s="41">
        <f>REGISTRO_B.DATOS!C400</f>
        <v>0</v>
      </c>
      <c r="D399" s="41">
        <f>REGISTRO_B.DATOS!D400</f>
        <v>0</v>
      </c>
      <c r="E399" s="42">
        <f>REGISTRO_B.DATOS!E400</f>
        <v>0</v>
      </c>
      <c r="F399" s="41">
        <f>REGISTRO_B.DATOS!F400</f>
        <v>0</v>
      </c>
      <c r="G399" s="41">
        <f>REGISTRO_B.DATOS!G400</f>
        <v>0</v>
      </c>
      <c r="H399" s="41">
        <f>REGISTRO_B.DATOS!H400</f>
        <v>0</v>
      </c>
      <c r="I399" s="41">
        <f>REGISTRO_B.DATOS!I400</f>
        <v>0</v>
      </c>
      <c r="J399" s="41">
        <f>REGISTRO_B.DATOS!J400</f>
        <v>0</v>
      </c>
      <c r="K399" s="43">
        <f>REGISTRO_B.DATOS!K400</f>
        <v>0</v>
      </c>
    </row>
    <row r="400" spans="1:11" x14ac:dyDescent="0.25">
      <c r="A400" s="40">
        <f>REGISTRO_B.DATOS!A401</f>
        <v>0</v>
      </c>
      <c r="B400" s="41">
        <f>REGISTRO_B.DATOS!B401</f>
        <v>0</v>
      </c>
      <c r="C400" s="41">
        <f>REGISTRO_B.DATOS!C401</f>
        <v>0</v>
      </c>
      <c r="D400" s="41">
        <f>REGISTRO_B.DATOS!D401</f>
        <v>0</v>
      </c>
      <c r="E400" s="42">
        <f>REGISTRO_B.DATOS!E401</f>
        <v>0</v>
      </c>
      <c r="F400" s="41">
        <f>REGISTRO_B.DATOS!F401</f>
        <v>0</v>
      </c>
      <c r="G400" s="41">
        <f>REGISTRO_B.DATOS!G401</f>
        <v>0</v>
      </c>
      <c r="H400" s="41">
        <f>REGISTRO_B.DATOS!H401</f>
        <v>0</v>
      </c>
      <c r="I400" s="41">
        <f>REGISTRO_B.DATOS!I401</f>
        <v>0</v>
      </c>
      <c r="J400" s="41">
        <f>REGISTRO_B.DATOS!J401</f>
        <v>0</v>
      </c>
      <c r="K400" s="43">
        <f>REGISTRO_B.DATOS!K401</f>
        <v>0</v>
      </c>
    </row>
    <row r="401" spans="1:11" x14ac:dyDescent="0.25">
      <c r="A401" s="40">
        <f>REGISTRO_B.DATOS!A402</f>
        <v>0</v>
      </c>
      <c r="B401" s="41">
        <f>REGISTRO_B.DATOS!B402</f>
        <v>0</v>
      </c>
      <c r="C401" s="41">
        <f>REGISTRO_B.DATOS!C402</f>
        <v>0</v>
      </c>
      <c r="D401" s="41">
        <f>REGISTRO_B.DATOS!D402</f>
        <v>0</v>
      </c>
      <c r="E401" s="42">
        <f>REGISTRO_B.DATOS!E402</f>
        <v>0</v>
      </c>
      <c r="F401" s="41">
        <f>REGISTRO_B.DATOS!F402</f>
        <v>0</v>
      </c>
      <c r="G401" s="41">
        <f>REGISTRO_B.DATOS!G402</f>
        <v>0</v>
      </c>
      <c r="H401" s="41">
        <f>REGISTRO_B.DATOS!H402</f>
        <v>0</v>
      </c>
      <c r="I401" s="41">
        <f>REGISTRO_B.DATOS!I402</f>
        <v>0</v>
      </c>
      <c r="J401" s="41">
        <f>REGISTRO_B.DATOS!J402</f>
        <v>0</v>
      </c>
      <c r="K401" s="43">
        <f>REGISTRO_B.DATOS!K402</f>
        <v>0</v>
      </c>
    </row>
    <row r="402" spans="1:11" x14ac:dyDescent="0.25">
      <c r="A402" s="40">
        <f>REGISTRO_B.DATOS!A403</f>
        <v>0</v>
      </c>
      <c r="B402" s="41">
        <f>REGISTRO_B.DATOS!B403</f>
        <v>0</v>
      </c>
      <c r="C402" s="41">
        <f>REGISTRO_B.DATOS!C403</f>
        <v>0</v>
      </c>
      <c r="D402" s="41">
        <f>REGISTRO_B.DATOS!D403</f>
        <v>0</v>
      </c>
      <c r="E402" s="42">
        <f>REGISTRO_B.DATOS!E403</f>
        <v>0</v>
      </c>
      <c r="F402" s="41">
        <f>REGISTRO_B.DATOS!F403</f>
        <v>0</v>
      </c>
      <c r="G402" s="41">
        <f>REGISTRO_B.DATOS!G403</f>
        <v>0</v>
      </c>
      <c r="H402" s="41">
        <f>REGISTRO_B.DATOS!H403</f>
        <v>0</v>
      </c>
      <c r="I402" s="41">
        <f>REGISTRO_B.DATOS!I403</f>
        <v>0</v>
      </c>
      <c r="J402" s="41">
        <f>REGISTRO_B.DATOS!J403</f>
        <v>0</v>
      </c>
      <c r="K402" s="43">
        <f>REGISTRO_B.DATOS!K403</f>
        <v>0</v>
      </c>
    </row>
    <row r="403" spans="1:11" x14ac:dyDescent="0.25">
      <c r="A403" s="40">
        <f>REGISTRO_B.DATOS!A404</f>
        <v>0</v>
      </c>
      <c r="B403" s="41">
        <f>REGISTRO_B.DATOS!B404</f>
        <v>0</v>
      </c>
      <c r="C403" s="41">
        <f>REGISTRO_B.DATOS!C404</f>
        <v>0</v>
      </c>
      <c r="D403" s="41">
        <f>REGISTRO_B.DATOS!D404</f>
        <v>0</v>
      </c>
      <c r="E403" s="42">
        <f>REGISTRO_B.DATOS!E404</f>
        <v>0</v>
      </c>
      <c r="F403" s="41">
        <f>REGISTRO_B.DATOS!F404</f>
        <v>0</v>
      </c>
      <c r="G403" s="41">
        <f>REGISTRO_B.DATOS!G404</f>
        <v>0</v>
      </c>
      <c r="H403" s="41">
        <f>REGISTRO_B.DATOS!H404</f>
        <v>0</v>
      </c>
      <c r="I403" s="41">
        <f>REGISTRO_B.DATOS!I404</f>
        <v>0</v>
      </c>
      <c r="J403" s="41">
        <f>REGISTRO_B.DATOS!J404</f>
        <v>0</v>
      </c>
      <c r="K403" s="43">
        <f>REGISTRO_B.DATOS!K404</f>
        <v>0</v>
      </c>
    </row>
    <row r="404" spans="1:11" x14ac:dyDescent="0.25">
      <c r="A404" s="40">
        <f>REGISTRO_B.DATOS!A405</f>
        <v>0</v>
      </c>
      <c r="B404" s="41">
        <f>REGISTRO_B.DATOS!B405</f>
        <v>0</v>
      </c>
      <c r="C404" s="41">
        <f>REGISTRO_B.DATOS!C405</f>
        <v>0</v>
      </c>
      <c r="D404" s="41">
        <f>REGISTRO_B.DATOS!D405</f>
        <v>0</v>
      </c>
      <c r="E404" s="42">
        <f>REGISTRO_B.DATOS!E405</f>
        <v>0</v>
      </c>
      <c r="F404" s="41">
        <f>REGISTRO_B.DATOS!F405</f>
        <v>0</v>
      </c>
      <c r="G404" s="41">
        <f>REGISTRO_B.DATOS!G405</f>
        <v>0</v>
      </c>
      <c r="H404" s="41">
        <f>REGISTRO_B.DATOS!H405</f>
        <v>0</v>
      </c>
      <c r="I404" s="41">
        <f>REGISTRO_B.DATOS!I405</f>
        <v>0</v>
      </c>
      <c r="J404" s="41">
        <f>REGISTRO_B.DATOS!J405</f>
        <v>0</v>
      </c>
      <c r="K404" s="43">
        <f>REGISTRO_B.DATOS!K405</f>
        <v>0</v>
      </c>
    </row>
    <row r="405" spans="1:11" x14ac:dyDescent="0.25">
      <c r="A405" s="40">
        <f>REGISTRO_B.DATOS!A406</f>
        <v>0</v>
      </c>
      <c r="B405" s="41">
        <f>REGISTRO_B.DATOS!B406</f>
        <v>0</v>
      </c>
      <c r="C405" s="41">
        <f>REGISTRO_B.DATOS!C406</f>
        <v>0</v>
      </c>
      <c r="D405" s="41">
        <f>REGISTRO_B.DATOS!D406</f>
        <v>0</v>
      </c>
      <c r="E405" s="42">
        <f>REGISTRO_B.DATOS!E406</f>
        <v>0</v>
      </c>
      <c r="F405" s="41">
        <f>REGISTRO_B.DATOS!F406</f>
        <v>0</v>
      </c>
      <c r="G405" s="41">
        <f>REGISTRO_B.DATOS!G406</f>
        <v>0</v>
      </c>
      <c r="H405" s="41">
        <f>REGISTRO_B.DATOS!H406</f>
        <v>0</v>
      </c>
      <c r="I405" s="41">
        <f>REGISTRO_B.DATOS!I406</f>
        <v>0</v>
      </c>
      <c r="J405" s="41">
        <f>REGISTRO_B.DATOS!J406</f>
        <v>0</v>
      </c>
      <c r="K405" s="43">
        <f>REGISTRO_B.DATOS!K406</f>
        <v>0</v>
      </c>
    </row>
    <row r="406" spans="1:11" x14ac:dyDescent="0.25">
      <c r="A406" s="40">
        <f>REGISTRO_B.DATOS!A407</f>
        <v>0</v>
      </c>
      <c r="B406" s="41">
        <f>REGISTRO_B.DATOS!B407</f>
        <v>0</v>
      </c>
      <c r="C406" s="41">
        <f>REGISTRO_B.DATOS!C407</f>
        <v>0</v>
      </c>
      <c r="D406" s="41">
        <f>REGISTRO_B.DATOS!D407</f>
        <v>0</v>
      </c>
      <c r="E406" s="42">
        <f>REGISTRO_B.DATOS!E407</f>
        <v>0</v>
      </c>
      <c r="F406" s="41">
        <f>REGISTRO_B.DATOS!F407</f>
        <v>0</v>
      </c>
      <c r="G406" s="41">
        <f>REGISTRO_B.DATOS!G407</f>
        <v>0</v>
      </c>
      <c r="H406" s="41">
        <f>REGISTRO_B.DATOS!H407</f>
        <v>0</v>
      </c>
      <c r="I406" s="41">
        <f>REGISTRO_B.DATOS!I407</f>
        <v>0</v>
      </c>
      <c r="J406" s="41">
        <f>REGISTRO_B.DATOS!J407</f>
        <v>0</v>
      </c>
      <c r="K406" s="43">
        <f>REGISTRO_B.DATOS!K407</f>
        <v>0</v>
      </c>
    </row>
    <row r="407" spans="1:11" x14ac:dyDescent="0.25">
      <c r="A407" s="40">
        <f>REGISTRO_B.DATOS!A408</f>
        <v>0</v>
      </c>
      <c r="B407" s="41">
        <f>REGISTRO_B.DATOS!B408</f>
        <v>0</v>
      </c>
      <c r="C407" s="41">
        <f>REGISTRO_B.DATOS!C408</f>
        <v>0</v>
      </c>
      <c r="D407" s="41">
        <f>REGISTRO_B.DATOS!D408</f>
        <v>0</v>
      </c>
      <c r="E407" s="42">
        <f>REGISTRO_B.DATOS!E408</f>
        <v>0</v>
      </c>
      <c r="F407" s="41">
        <f>REGISTRO_B.DATOS!F408</f>
        <v>0</v>
      </c>
      <c r="G407" s="41">
        <f>REGISTRO_B.DATOS!G408</f>
        <v>0</v>
      </c>
      <c r="H407" s="41">
        <f>REGISTRO_B.DATOS!H408</f>
        <v>0</v>
      </c>
      <c r="I407" s="41">
        <f>REGISTRO_B.DATOS!I408</f>
        <v>0</v>
      </c>
      <c r="J407" s="41">
        <f>REGISTRO_B.DATOS!J408</f>
        <v>0</v>
      </c>
      <c r="K407" s="43">
        <f>REGISTRO_B.DATOS!K408</f>
        <v>0</v>
      </c>
    </row>
    <row r="408" spans="1:11" x14ac:dyDescent="0.25">
      <c r="A408" s="40">
        <f>REGISTRO_B.DATOS!A409</f>
        <v>0</v>
      </c>
      <c r="B408" s="41">
        <f>REGISTRO_B.DATOS!B409</f>
        <v>0</v>
      </c>
      <c r="C408" s="41">
        <f>REGISTRO_B.DATOS!C409</f>
        <v>0</v>
      </c>
      <c r="D408" s="41">
        <f>REGISTRO_B.DATOS!D409</f>
        <v>0</v>
      </c>
      <c r="E408" s="42">
        <f>REGISTRO_B.DATOS!E409</f>
        <v>0</v>
      </c>
      <c r="F408" s="41">
        <f>REGISTRO_B.DATOS!F409</f>
        <v>0</v>
      </c>
      <c r="G408" s="41">
        <f>REGISTRO_B.DATOS!G409</f>
        <v>0</v>
      </c>
      <c r="H408" s="41">
        <f>REGISTRO_B.DATOS!H409</f>
        <v>0</v>
      </c>
      <c r="I408" s="41">
        <f>REGISTRO_B.DATOS!I409</f>
        <v>0</v>
      </c>
      <c r="J408" s="41">
        <f>REGISTRO_B.DATOS!J409</f>
        <v>0</v>
      </c>
      <c r="K408" s="43">
        <f>REGISTRO_B.DATOS!K409</f>
        <v>0</v>
      </c>
    </row>
    <row r="409" spans="1:11" x14ac:dyDescent="0.25">
      <c r="A409" s="40">
        <f>REGISTRO_B.DATOS!A410</f>
        <v>0</v>
      </c>
      <c r="B409" s="41">
        <f>REGISTRO_B.DATOS!B410</f>
        <v>0</v>
      </c>
      <c r="C409" s="41">
        <f>REGISTRO_B.DATOS!C410</f>
        <v>0</v>
      </c>
      <c r="D409" s="41">
        <f>REGISTRO_B.DATOS!D410</f>
        <v>0</v>
      </c>
      <c r="E409" s="42">
        <f>REGISTRO_B.DATOS!E410</f>
        <v>0</v>
      </c>
      <c r="F409" s="41">
        <f>REGISTRO_B.DATOS!F410</f>
        <v>0</v>
      </c>
      <c r="G409" s="41">
        <f>REGISTRO_B.DATOS!G410</f>
        <v>0</v>
      </c>
      <c r="H409" s="41">
        <f>REGISTRO_B.DATOS!H410</f>
        <v>0</v>
      </c>
      <c r="I409" s="41">
        <f>REGISTRO_B.DATOS!I410</f>
        <v>0</v>
      </c>
      <c r="J409" s="41">
        <f>REGISTRO_B.DATOS!J410</f>
        <v>0</v>
      </c>
      <c r="K409" s="43">
        <f>REGISTRO_B.DATOS!K410</f>
        <v>0</v>
      </c>
    </row>
    <row r="410" spans="1:11" x14ac:dyDescent="0.25">
      <c r="A410" s="40">
        <f>REGISTRO_B.DATOS!A411</f>
        <v>0</v>
      </c>
      <c r="B410" s="41">
        <f>REGISTRO_B.DATOS!B411</f>
        <v>0</v>
      </c>
      <c r="C410" s="41">
        <f>REGISTRO_B.DATOS!C411</f>
        <v>0</v>
      </c>
      <c r="D410" s="41">
        <f>REGISTRO_B.DATOS!D411</f>
        <v>0</v>
      </c>
      <c r="E410" s="42">
        <f>REGISTRO_B.DATOS!E411</f>
        <v>0</v>
      </c>
      <c r="F410" s="41">
        <f>REGISTRO_B.DATOS!F411</f>
        <v>0</v>
      </c>
      <c r="G410" s="41">
        <f>REGISTRO_B.DATOS!G411</f>
        <v>0</v>
      </c>
      <c r="H410" s="41">
        <f>REGISTRO_B.DATOS!H411</f>
        <v>0</v>
      </c>
      <c r="I410" s="41">
        <f>REGISTRO_B.DATOS!I411</f>
        <v>0</v>
      </c>
      <c r="J410" s="41">
        <f>REGISTRO_B.DATOS!J411</f>
        <v>0</v>
      </c>
      <c r="K410" s="43">
        <f>REGISTRO_B.DATOS!K411</f>
        <v>0</v>
      </c>
    </row>
    <row r="411" spans="1:11" x14ac:dyDescent="0.25">
      <c r="A411" s="40">
        <f>REGISTRO_B.DATOS!A412</f>
        <v>0</v>
      </c>
      <c r="B411" s="41">
        <f>REGISTRO_B.DATOS!B412</f>
        <v>0</v>
      </c>
      <c r="C411" s="41">
        <f>REGISTRO_B.DATOS!C412</f>
        <v>0</v>
      </c>
      <c r="D411" s="41">
        <f>REGISTRO_B.DATOS!D412</f>
        <v>0</v>
      </c>
      <c r="E411" s="42">
        <f>REGISTRO_B.DATOS!E412</f>
        <v>0</v>
      </c>
      <c r="F411" s="41">
        <f>REGISTRO_B.DATOS!F412</f>
        <v>0</v>
      </c>
      <c r="G411" s="41">
        <f>REGISTRO_B.DATOS!G412</f>
        <v>0</v>
      </c>
      <c r="H411" s="41">
        <f>REGISTRO_B.DATOS!H412</f>
        <v>0</v>
      </c>
      <c r="I411" s="41">
        <f>REGISTRO_B.DATOS!I412</f>
        <v>0</v>
      </c>
      <c r="J411" s="41">
        <f>REGISTRO_B.DATOS!J412</f>
        <v>0</v>
      </c>
      <c r="K411" s="43">
        <f>REGISTRO_B.DATOS!K412</f>
        <v>0</v>
      </c>
    </row>
    <row r="412" spans="1:11" x14ac:dyDescent="0.25">
      <c r="A412" s="40">
        <f>REGISTRO_B.DATOS!A413</f>
        <v>0</v>
      </c>
      <c r="B412" s="41">
        <f>REGISTRO_B.DATOS!B413</f>
        <v>0</v>
      </c>
      <c r="C412" s="41">
        <f>REGISTRO_B.DATOS!C413</f>
        <v>0</v>
      </c>
      <c r="D412" s="41">
        <f>REGISTRO_B.DATOS!D413</f>
        <v>0</v>
      </c>
      <c r="E412" s="42">
        <f>REGISTRO_B.DATOS!E413</f>
        <v>0</v>
      </c>
      <c r="F412" s="41">
        <f>REGISTRO_B.DATOS!F413</f>
        <v>0</v>
      </c>
      <c r="G412" s="41">
        <f>REGISTRO_B.DATOS!G413</f>
        <v>0</v>
      </c>
      <c r="H412" s="41">
        <f>REGISTRO_B.DATOS!H413</f>
        <v>0</v>
      </c>
      <c r="I412" s="41">
        <f>REGISTRO_B.DATOS!I413</f>
        <v>0</v>
      </c>
      <c r="J412" s="41">
        <f>REGISTRO_B.DATOS!J413</f>
        <v>0</v>
      </c>
      <c r="K412" s="43">
        <f>REGISTRO_B.DATOS!K413</f>
        <v>0</v>
      </c>
    </row>
    <row r="413" spans="1:11" x14ac:dyDescent="0.25">
      <c r="A413" s="40">
        <f>REGISTRO_B.DATOS!A414</f>
        <v>0</v>
      </c>
      <c r="B413" s="41">
        <f>REGISTRO_B.DATOS!B414</f>
        <v>0</v>
      </c>
      <c r="C413" s="41">
        <f>REGISTRO_B.DATOS!C414</f>
        <v>0</v>
      </c>
      <c r="D413" s="41">
        <f>REGISTRO_B.DATOS!D414</f>
        <v>0</v>
      </c>
      <c r="E413" s="42">
        <f>REGISTRO_B.DATOS!E414</f>
        <v>0</v>
      </c>
      <c r="F413" s="41">
        <f>REGISTRO_B.DATOS!F414</f>
        <v>0</v>
      </c>
      <c r="G413" s="41">
        <f>REGISTRO_B.DATOS!G414</f>
        <v>0</v>
      </c>
      <c r="H413" s="41">
        <f>REGISTRO_B.DATOS!H414</f>
        <v>0</v>
      </c>
      <c r="I413" s="41">
        <f>REGISTRO_B.DATOS!I414</f>
        <v>0</v>
      </c>
      <c r="J413" s="41">
        <f>REGISTRO_B.DATOS!J414</f>
        <v>0</v>
      </c>
      <c r="K413" s="43">
        <f>REGISTRO_B.DATOS!K414</f>
        <v>0</v>
      </c>
    </row>
    <row r="414" spans="1:11" x14ac:dyDescent="0.25">
      <c r="A414" s="40">
        <f>REGISTRO_B.DATOS!A415</f>
        <v>0</v>
      </c>
      <c r="B414" s="41">
        <f>REGISTRO_B.DATOS!B415</f>
        <v>0</v>
      </c>
      <c r="C414" s="41">
        <f>REGISTRO_B.DATOS!C415</f>
        <v>0</v>
      </c>
      <c r="D414" s="41">
        <f>REGISTRO_B.DATOS!D415</f>
        <v>0</v>
      </c>
      <c r="E414" s="42">
        <f>REGISTRO_B.DATOS!E415</f>
        <v>0</v>
      </c>
      <c r="F414" s="41">
        <f>REGISTRO_B.DATOS!F415</f>
        <v>0</v>
      </c>
      <c r="G414" s="41">
        <f>REGISTRO_B.DATOS!G415</f>
        <v>0</v>
      </c>
      <c r="H414" s="41">
        <f>REGISTRO_B.DATOS!H415</f>
        <v>0</v>
      </c>
      <c r="I414" s="41">
        <f>REGISTRO_B.DATOS!I415</f>
        <v>0</v>
      </c>
      <c r="J414" s="41">
        <f>REGISTRO_B.DATOS!J415</f>
        <v>0</v>
      </c>
      <c r="K414" s="43">
        <f>REGISTRO_B.DATOS!K415</f>
        <v>0</v>
      </c>
    </row>
    <row r="415" spans="1:11" x14ac:dyDescent="0.25">
      <c r="A415" s="40">
        <f>REGISTRO_B.DATOS!A416</f>
        <v>0</v>
      </c>
      <c r="B415" s="41">
        <f>REGISTRO_B.DATOS!B416</f>
        <v>0</v>
      </c>
      <c r="C415" s="41">
        <f>REGISTRO_B.DATOS!C416</f>
        <v>0</v>
      </c>
      <c r="D415" s="41">
        <f>REGISTRO_B.DATOS!D416</f>
        <v>0</v>
      </c>
      <c r="E415" s="42">
        <f>REGISTRO_B.DATOS!E416</f>
        <v>0</v>
      </c>
      <c r="F415" s="41">
        <f>REGISTRO_B.DATOS!F416</f>
        <v>0</v>
      </c>
      <c r="G415" s="41">
        <f>REGISTRO_B.DATOS!G416</f>
        <v>0</v>
      </c>
      <c r="H415" s="41">
        <f>REGISTRO_B.DATOS!H416</f>
        <v>0</v>
      </c>
      <c r="I415" s="41">
        <f>REGISTRO_B.DATOS!I416</f>
        <v>0</v>
      </c>
      <c r="J415" s="41">
        <f>REGISTRO_B.DATOS!J416</f>
        <v>0</v>
      </c>
      <c r="K415" s="43">
        <f>REGISTRO_B.DATOS!K416</f>
        <v>0</v>
      </c>
    </row>
    <row r="416" spans="1:11" x14ac:dyDescent="0.25">
      <c r="A416" s="40">
        <f>REGISTRO_B.DATOS!A417</f>
        <v>0</v>
      </c>
      <c r="B416" s="41">
        <f>REGISTRO_B.DATOS!B417</f>
        <v>0</v>
      </c>
      <c r="C416" s="41">
        <f>REGISTRO_B.DATOS!C417</f>
        <v>0</v>
      </c>
      <c r="D416" s="41">
        <f>REGISTRO_B.DATOS!D417</f>
        <v>0</v>
      </c>
      <c r="E416" s="42">
        <f>REGISTRO_B.DATOS!E417</f>
        <v>0</v>
      </c>
      <c r="F416" s="41">
        <f>REGISTRO_B.DATOS!F417</f>
        <v>0</v>
      </c>
      <c r="G416" s="41">
        <f>REGISTRO_B.DATOS!G417</f>
        <v>0</v>
      </c>
      <c r="H416" s="41">
        <f>REGISTRO_B.DATOS!H417</f>
        <v>0</v>
      </c>
      <c r="I416" s="41">
        <f>REGISTRO_B.DATOS!I417</f>
        <v>0</v>
      </c>
      <c r="J416" s="41">
        <f>REGISTRO_B.DATOS!J417</f>
        <v>0</v>
      </c>
      <c r="K416" s="43">
        <f>REGISTRO_B.DATOS!K417</f>
        <v>0</v>
      </c>
    </row>
    <row r="417" spans="1:11" x14ac:dyDescent="0.25">
      <c r="A417" s="40">
        <f>REGISTRO_B.DATOS!A418</f>
        <v>0</v>
      </c>
      <c r="B417" s="41">
        <f>REGISTRO_B.DATOS!B418</f>
        <v>0</v>
      </c>
      <c r="C417" s="41">
        <f>REGISTRO_B.DATOS!C418</f>
        <v>0</v>
      </c>
      <c r="D417" s="41">
        <f>REGISTRO_B.DATOS!D418</f>
        <v>0</v>
      </c>
      <c r="E417" s="42">
        <f>REGISTRO_B.DATOS!E418</f>
        <v>0</v>
      </c>
      <c r="F417" s="41">
        <f>REGISTRO_B.DATOS!F418</f>
        <v>0</v>
      </c>
      <c r="G417" s="41">
        <f>REGISTRO_B.DATOS!G418</f>
        <v>0</v>
      </c>
      <c r="H417" s="41">
        <f>REGISTRO_B.DATOS!H418</f>
        <v>0</v>
      </c>
      <c r="I417" s="41">
        <f>REGISTRO_B.DATOS!I418</f>
        <v>0</v>
      </c>
      <c r="J417" s="41">
        <f>REGISTRO_B.DATOS!J418</f>
        <v>0</v>
      </c>
      <c r="K417" s="43">
        <f>REGISTRO_B.DATOS!K418</f>
        <v>0</v>
      </c>
    </row>
    <row r="418" spans="1:11" x14ac:dyDescent="0.25">
      <c r="A418" s="40">
        <f>REGISTRO_B.DATOS!A419</f>
        <v>0</v>
      </c>
      <c r="B418" s="41">
        <f>REGISTRO_B.DATOS!B419</f>
        <v>0</v>
      </c>
      <c r="C418" s="41">
        <f>REGISTRO_B.DATOS!C419</f>
        <v>0</v>
      </c>
      <c r="D418" s="41">
        <f>REGISTRO_B.DATOS!D419</f>
        <v>0</v>
      </c>
      <c r="E418" s="42">
        <f>REGISTRO_B.DATOS!E419</f>
        <v>0</v>
      </c>
      <c r="F418" s="41">
        <f>REGISTRO_B.DATOS!F419</f>
        <v>0</v>
      </c>
      <c r="G418" s="41">
        <f>REGISTRO_B.DATOS!G419</f>
        <v>0</v>
      </c>
      <c r="H418" s="41">
        <f>REGISTRO_B.DATOS!H419</f>
        <v>0</v>
      </c>
      <c r="I418" s="41">
        <f>REGISTRO_B.DATOS!I419</f>
        <v>0</v>
      </c>
      <c r="J418" s="41">
        <f>REGISTRO_B.DATOS!J419</f>
        <v>0</v>
      </c>
      <c r="K418" s="43">
        <f>REGISTRO_B.DATOS!K419</f>
        <v>0</v>
      </c>
    </row>
    <row r="419" spans="1:11" x14ac:dyDescent="0.25">
      <c r="A419" s="40">
        <f>REGISTRO_B.DATOS!A420</f>
        <v>0</v>
      </c>
      <c r="B419" s="41">
        <f>REGISTRO_B.DATOS!B420</f>
        <v>0</v>
      </c>
      <c r="C419" s="41">
        <f>REGISTRO_B.DATOS!C420</f>
        <v>0</v>
      </c>
      <c r="D419" s="41">
        <f>REGISTRO_B.DATOS!D420</f>
        <v>0</v>
      </c>
      <c r="E419" s="42">
        <f>REGISTRO_B.DATOS!E420</f>
        <v>0</v>
      </c>
      <c r="F419" s="41">
        <f>REGISTRO_B.DATOS!F420</f>
        <v>0</v>
      </c>
      <c r="G419" s="41">
        <f>REGISTRO_B.DATOS!G420</f>
        <v>0</v>
      </c>
      <c r="H419" s="41">
        <f>REGISTRO_B.DATOS!H420</f>
        <v>0</v>
      </c>
      <c r="I419" s="41">
        <f>REGISTRO_B.DATOS!I420</f>
        <v>0</v>
      </c>
      <c r="J419" s="41">
        <f>REGISTRO_B.DATOS!J420</f>
        <v>0</v>
      </c>
      <c r="K419" s="43">
        <f>REGISTRO_B.DATOS!K420</f>
        <v>0</v>
      </c>
    </row>
    <row r="420" spans="1:11" x14ac:dyDescent="0.25">
      <c r="A420" s="40">
        <f>REGISTRO_B.DATOS!A421</f>
        <v>0</v>
      </c>
      <c r="B420" s="41">
        <f>REGISTRO_B.DATOS!B421</f>
        <v>0</v>
      </c>
      <c r="C420" s="41">
        <f>REGISTRO_B.DATOS!C421</f>
        <v>0</v>
      </c>
      <c r="D420" s="41">
        <f>REGISTRO_B.DATOS!D421</f>
        <v>0</v>
      </c>
      <c r="E420" s="42">
        <f>REGISTRO_B.DATOS!E421</f>
        <v>0</v>
      </c>
      <c r="F420" s="41">
        <f>REGISTRO_B.DATOS!F421</f>
        <v>0</v>
      </c>
      <c r="G420" s="41">
        <f>REGISTRO_B.DATOS!G421</f>
        <v>0</v>
      </c>
      <c r="H420" s="41">
        <f>REGISTRO_B.DATOS!H421</f>
        <v>0</v>
      </c>
      <c r="I420" s="41">
        <f>REGISTRO_B.DATOS!I421</f>
        <v>0</v>
      </c>
      <c r="J420" s="41">
        <f>REGISTRO_B.DATOS!J421</f>
        <v>0</v>
      </c>
      <c r="K420" s="43">
        <f>REGISTRO_B.DATOS!K421</f>
        <v>0</v>
      </c>
    </row>
    <row r="421" spans="1:11" x14ac:dyDescent="0.25">
      <c r="A421" s="40">
        <f>REGISTRO_B.DATOS!A422</f>
        <v>0</v>
      </c>
      <c r="B421" s="41">
        <f>REGISTRO_B.DATOS!B422</f>
        <v>0</v>
      </c>
      <c r="C421" s="41">
        <f>REGISTRO_B.DATOS!C422</f>
        <v>0</v>
      </c>
      <c r="D421" s="41">
        <f>REGISTRO_B.DATOS!D422</f>
        <v>0</v>
      </c>
      <c r="E421" s="42">
        <f>REGISTRO_B.DATOS!E422</f>
        <v>0</v>
      </c>
      <c r="F421" s="41">
        <f>REGISTRO_B.DATOS!F422</f>
        <v>0</v>
      </c>
      <c r="G421" s="41">
        <f>REGISTRO_B.DATOS!G422</f>
        <v>0</v>
      </c>
      <c r="H421" s="41">
        <f>REGISTRO_B.DATOS!H422</f>
        <v>0</v>
      </c>
      <c r="I421" s="41">
        <f>REGISTRO_B.DATOS!I422</f>
        <v>0</v>
      </c>
      <c r="J421" s="41">
        <f>REGISTRO_B.DATOS!J422</f>
        <v>0</v>
      </c>
      <c r="K421" s="43">
        <f>REGISTRO_B.DATOS!K422</f>
        <v>0</v>
      </c>
    </row>
    <row r="422" spans="1:11" x14ac:dyDescent="0.25">
      <c r="A422" s="40">
        <f>REGISTRO_B.DATOS!A423</f>
        <v>0</v>
      </c>
      <c r="B422" s="41">
        <f>REGISTRO_B.DATOS!B423</f>
        <v>0</v>
      </c>
      <c r="C422" s="41">
        <f>REGISTRO_B.DATOS!C423</f>
        <v>0</v>
      </c>
      <c r="D422" s="41">
        <f>REGISTRO_B.DATOS!D423</f>
        <v>0</v>
      </c>
      <c r="E422" s="42">
        <f>REGISTRO_B.DATOS!E423</f>
        <v>0</v>
      </c>
      <c r="F422" s="41">
        <f>REGISTRO_B.DATOS!F423</f>
        <v>0</v>
      </c>
      <c r="G422" s="41">
        <f>REGISTRO_B.DATOS!G423</f>
        <v>0</v>
      </c>
      <c r="H422" s="41">
        <f>REGISTRO_B.DATOS!H423</f>
        <v>0</v>
      </c>
      <c r="I422" s="41">
        <f>REGISTRO_B.DATOS!I423</f>
        <v>0</v>
      </c>
      <c r="J422" s="41">
        <f>REGISTRO_B.DATOS!J423</f>
        <v>0</v>
      </c>
      <c r="K422" s="43">
        <f>REGISTRO_B.DATOS!K423</f>
        <v>0</v>
      </c>
    </row>
    <row r="423" spans="1:11" x14ac:dyDescent="0.25">
      <c r="A423" s="40">
        <f>REGISTRO_B.DATOS!A424</f>
        <v>0</v>
      </c>
      <c r="B423" s="41">
        <f>REGISTRO_B.DATOS!B424</f>
        <v>0</v>
      </c>
      <c r="C423" s="41">
        <f>REGISTRO_B.DATOS!C424</f>
        <v>0</v>
      </c>
      <c r="D423" s="41">
        <f>REGISTRO_B.DATOS!D424</f>
        <v>0</v>
      </c>
      <c r="E423" s="42">
        <f>REGISTRO_B.DATOS!E424</f>
        <v>0</v>
      </c>
      <c r="F423" s="41">
        <f>REGISTRO_B.DATOS!F424</f>
        <v>0</v>
      </c>
      <c r="G423" s="41">
        <f>REGISTRO_B.DATOS!G424</f>
        <v>0</v>
      </c>
      <c r="H423" s="41">
        <f>REGISTRO_B.DATOS!H424</f>
        <v>0</v>
      </c>
      <c r="I423" s="41">
        <f>REGISTRO_B.DATOS!I424</f>
        <v>0</v>
      </c>
      <c r="J423" s="41">
        <f>REGISTRO_B.DATOS!J424</f>
        <v>0</v>
      </c>
      <c r="K423" s="43">
        <f>REGISTRO_B.DATOS!K424</f>
        <v>0</v>
      </c>
    </row>
    <row r="424" spans="1:11" x14ac:dyDescent="0.25">
      <c r="A424" s="40">
        <f>REGISTRO_B.DATOS!A425</f>
        <v>0</v>
      </c>
      <c r="B424" s="41">
        <f>REGISTRO_B.DATOS!B425</f>
        <v>0</v>
      </c>
      <c r="C424" s="41">
        <f>REGISTRO_B.DATOS!C425</f>
        <v>0</v>
      </c>
      <c r="D424" s="41">
        <f>REGISTRO_B.DATOS!D425</f>
        <v>0</v>
      </c>
      <c r="E424" s="42">
        <f>REGISTRO_B.DATOS!E425</f>
        <v>0</v>
      </c>
      <c r="F424" s="41">
        <f>REGISTRO_B.DATOS!F425</f>
        <v>0</v>
      </c>
      <c r="G424" s="41">
        <f>REGISTRO_B.DATOS!G425</f>
        <v>0</v>
      </c>
      <c r="H424" s="41">
        <f>REGISTRO_B.DATOS!H425</f>
        <v>0</v>
      </c>
      <c r="I424" s="41">
        <f>REGISTRO_B.DATOS!I425</f>
        <v>0</v>
      </c>
      <c r="J424" s="41">
        <f>REGISTRO_B.DATOS!J425</f>
        <v>0</v>
      </c>
      <c r="K424" s="43">
        <f>REGISTRO_B.DATOS!K425</f>
        <v>0</v>
      </c>
    </row>
    <row r="425" spans="1:11" x14ac:dyDescent="0.25">
      <c r="A425" s="40">
        <f>REGISTRO_B.DATOS!A426</f>
        <v>0</v>
      </c>
      <c r="B425" s="41">
        <f>REGISTRO_B.DATOS!B426</f>
        <v>0</v>
      </c>
      <c r="C425" s="41">
        <f>REGISTRO_B.DATOS!C426</f>
        <v>0</v>
      </c>
      <c r="D425" s="41">
        <f>REGISTRO_B.DATOS!D426</f>
        <v>0</v>
      </c>
      <c r="E425" s="42">
        <f>REGISTRO_B.DATOS!E426</f>
        <v>0</v>
      </c>
      <c r="F425" s="41">
        <f>REGISTRO_B.DATOS!F426</f>
        <v>0</v>
      </c>
      <c r="G425" s="41">
        <f>REGISTRO_B.DATOS!G426</f>
        <v>0</v>
      </c>
      <c r="H425" s="41">
        <f>REGISTRO_B.DATOS!H426</f>
        <v>0</v>
      </c>
      <c r="I425" s="41">
        <f>REGISTRO_B.DATOS!I426</f>
        <v>0</v>
      </c>
      <c r="J425" s="41">
        <f>REGISTRO_B.DATOS!J426</f>
        <v>0</v>
      </c>
      <c r="K425" s="43">
        <f>REGISTRO_B.DATOS!K426</f>
        <v>0</v>
      </c>
    </row>
    <row r="426" spans="1:11" x14ac:dyDescent="0.25">
      <c r="A426" s="40">
        <f>REGISTRO_B.DATOS!A427</f>
        <v>0</v>
      </c>
      <c r="B426" s="41">
        <f>REGISTRO_B.DATOS!B427</f>
        <v>0</v>
      </c>
      <c r="C426" s="41">
        <f>REGISTRO_B.DATOS!C427</f>
        <v>0</v>
      </c>
      <c r="D426" s="41">
        <f>REGISTRO_B.DATOS!D427</f>
        <v>0</v>
      </c>
      <c r="E426" s="42">
        <f>REGISTRO_B.DATOS!E427</f>
        <v>0</v>
      </c>
      <c r="F426" s="41">
        <f>REGISTRO_B.DATOS!F427</f>
        <v>0</v>
      </c>
      <c r="G426" s="41">
        <f>REGISTRO_B.DATOS!G427</f>
        <v>0</v>
      </c>
      <c r="H426" s="41">
        <f>REGISTRO_B.DATOS!H427</f>
        <v>0</v>
      </c>
      <c r="I426" s="41">
        <f>REGISTRO_B.DATOS!I427</f>
        <v>0</v>
      </c>
      <c r="J426" s="41">
        <f>REGISTRO_B.DATOS!J427</f>
        <v>0</v>
      </c>
      <c r="K426" s="43">
        <f>REGISTRO_B.DATOS!K427</f>
        <v>0</v>
      </c>
    </row>
    <row r="427" spans="1:11" x14ac:dyDescent="0.25">
      <c r="A427" s="40">
        <f>REGISTRO_B.DATOS!A428</f>
        <v>0</v>
      </c>
      <c r="B427" s="41">
        <f>REGISTRO_B.DATOS!B428</f>
        <v>0</v>
      </c>
      <c r="C427" s="41">
        <f>REGISTRO_B.DATOS!C428</f>
        <v>0</v>
      </c>
      <c r="D427" s="41">
        <f>REGISTRO_B.DATOS!D428</f>
        <v>0</v>
      </c>
      <c r="E427" s="42">
        <f>REGISTRO_B.DATOS!E428</f>
        <v>0</v>
      </c>
      <c r="F427" s="41">
        <f>REGISTRO_B.DATOS!F428</f>
        <v>0</v>
      </c>
      <c r="G427" s="41">
        <f>REGISTRO_B.DATOS!G428</f>
        <v>0</v>
      </c>
      <c r="H427" s="41">
        <f>REGISTRO_B.DATOS!H428</f>
        <v>0</v>
      </c>
      <c r="I427" s="41">
        <f>REGISTRO_B.DATOS!I428</f>
        <v>0</v>
      </c>
      <c r="J427" s="41">
        <f>REGISTRO_B.DATOS!J428</f>
        <v>0</v>
      </c>
      <c r="K427" s="43">
        <f>REGISTRO_B.DATOS!K428</f>
        <v>0</v>
      </c>
    </row>
    <row r="428" spans="1:11" x14ac:dyDescent="0.25">
      <c r="A428" s="40">
        <f>REGISTRO_B.DATOS!A429</f>
        <v>0</v>
      </c>
      <c r="B428" s="41">
        <f>REGISTRO_B.DATOS!B429</f>
        <v>0</v>
      </c>
      <c r="C428" s="41">
        <f>REGISTRO_B.DATOS!C429</f>
        <v>0</v>
      </c>
      <c r="D428" s="41">
        <f>REGISTRO_B.DATOS!D429</f>
        <v>0</v>
      </c>
      <c r="E428" s="42">
        <f>REGISTRO_B.DATOS!E429</f>
        <v>0</v>
      </c>
      <c r="F428" s="41">
        <f>REGISTRO_B.DATOS!F429</f>
        <v>0</v>
      </c>
      <c r="G428" s="41">
        <f>REGISTRO_B.DATOS!G429</f>
        <v>0</v>
      </c>
      <c r="H428" s="41">
        <f>REGISTRO_B.DATOS!H429</f>
        <v>0</v>
      </c>
      <c r="I428" s="41">
        <f>REGISTRO_B.DATOS!I429</f>
        <v>0</v>
      </c>
      <c r="J428" s="41">
        <f>REGISTRO_B.DATOS!J429</f>
        <v>0</v>
      </c>
      <c r="K428" s="43">
        <f>REGISTRO_B.DATOS!K429</f>
        <v>0</v>
      </c>
    </row>
    <row r="429" spans="1:11" x14ac:dyDescent="0.25">
      <c r="A429" s="40">
        <f>REGISTRO_B.DATOS!A430</f>
        <v>0</v>
      </c>
      <c r="B429" s="41">
        <f>REGISTRO_B.DATOS!B430</f>
        <v>0</v>
      </c>
      <c r="C429" s="41">
        <f>REGISTRO_B.DATOS!C430</f>
        <v>0</v>
      </c>
      <c r="D429" s="41">
        <f>REGISTRO_B.DATOS!D430</f>
        <v>0</v>
      </c>
      <c r="E429" s="42">
        <f>REGISTRO_B.DATOS!E430</f>
        <v>0</v>
      </c>
      <c r="F429" s="41">
        <f>REGISTRO_B.DATOS!F430</f>
        <v>0</v>
      </c>
      <c r="G429" s="41">
        <f>REGISTRO_B.DATOS!G430</f>
        <v>0</v>
      </c>
      <c r="H429" s="41">
        <f>REGISTRO_B.DATOS!H430</f>
        <v>0</v>
      </c>
      <c r="I429" s="41">
        <f>REGISTRO_B.DATOS!I430</f>
        <v>0</v>
      </c>
      <c r="J429" s="41">
        <f>REGISTRO_B.DATOS!J430</f>
        <v>0</v>
      </c>
      <c r="K429" s="43">
        <f>REGISTRO_B.DATOS!K430</f>
        <v>0</v>
      </c>
    </row>
    <row r="430" spans="1:11" x14ac:dyDescent="0.25">
      <c r="A430" s="40">
        <f>REGISTRO_B.DATOS!A431</f>
        <v>0</v>
      </c>
      <c r="B430" s="41">
        <f>REGISTRO_B.DATOS!B431</f>
        <v>0</v>
      </c>
      <c r="C430" s="41">
        <f>REGISTRO_B.DATOS!C431</f>
        <v>0</v>
      </c>
      <c r="D430" s="41">
        <f>REGISTRO_B.DATOS!D431</f>
        <v>0</v>
      </c>
      <c r="E430" s="42">
        <f>REGISTRO_B.DATOS!E431</f>
        <v>0</v>
      </c>
      <c r="F430" s="41">
        <f>REGISTRO_B.DATOS!F431</f>
        <v>0</v>
      </c>
      <c r="G430" s="41">
        <f>REGISTRO_B.DATOS!G431</f>
        <v>0</v>
      </c>
      <c r="H430" s="41">
        <f>REGISTRO_B.DATOS!H431</f>
        <v>0</v>
      </c>
      <c r="I430" s="41">
        <f>REGISTRO_B.DATOS!I431</f>
        <v>0</v>
      </c>
      <c r="J430" s="41">
        <f>REGISTRO_B.DATOS!J431</f>
        <v>0</v>
      </c>
      <c r="K430" s="43">
        <f>REGISTRO_B.DATOS!K431</f>
        <v>0</v>
      </c>
    </row>
    <row r="431" spans="1:11" x14ac:dyDescent="0.25">
      <c r="A431" s="40">
        <f>REGISTRO_B.DATOS!A432</f>
        <v>0</v>
      </c>
      <c r="B431" s="41">
        <f>REGISTRO_B.DATOS!B432</f>
        <v>0</v>
      </c>
      <c r="C431" s="41">
        <f>REGISTRO_B.DATOS!C432</f>
        <v>0</v>
      </c>
      <c r="D431" s="41">
        <f>REGISTRO_B.DATOS!D432</f>
        <v>0</v>
      </c>
      <c r="E431" s="42">
        <f>REGISTRO_B.DATOS!E432</f>
        <v>0</v>
      </c>
      <c r="F431" s="41">
        <f>REGISTRO_B.DATOS!F432</f>
        <v>0</v>
      </c>
      <c r="G431" s="41">
        <f>REGISTRO_B.DATOS!G432</f>
        <v>0</v>
      </c>
      <c r="H431" s="41">
        <f>REGISTRO_B.DATOS!H432</f>
        <v>0</v>
      </c>
      <c r="I431" s="41">
        <f>REGISTRO_B.DATOS!I432</f>
        <v>0</v>
      </c>
      <c r="J431" s="41">
        <f>REGISTRO_B.DATOS!J432</f>
        <v>0</v>
      </c>
      <c r="K431" s="43">
        <f>REGISTRO_B.DATOS!K432</f>
        <v>0</v>
      </c>
    </row>
    <row r="432" spans="1:11" x14ac:dyDescent="0.25">
      <c r="A432" s="40">
        <f>REGISTRO_B.DATOS!A433</f>
        <v>0</v>
      </c>
      <c r="B432" s="41">
        <f>REGISTRO_B.DATOS!B433</f>
        <v>0</v>
      </c>
      <c r="C432" s="41">
        <f>REGISTRO_B.DATOS!C433</f>
        <v>0</v>
      </c>
      <c r="D432" s="41">
        <f>REGISTRO_B.DATOS!D433</f>
        <v>0</v>
      </c>
      <c r="E432" s="42">
        <f>REGISTRO_B.DATOS!E433</f>
        <v>0</v>
      </c>
      <c r="F432" s="41">
        <f>REGISTRO_B.DATOS!F433</f>
        <v>0</v>
      </c>
      <c r="G432" s="41">
        <f>REGISTRO_B.DATOS!G433</f>
        <v>0</v>
      </c>
      <c r="H432" s="41">
        <f>REGISTRO_B.DATOS!H433</f>
        <v>0</v>
      </c>
      <c r="I432" s="41">
        <f>REGISTRO_B.DATOS!I433</f>
        <v>0</v>
      </c>
      <c r="J432" s="41">
        <f>REGISTRO_B.DATOS!J433</f>
        <v>0</v>
      </c>
      <c r="K432" s="43">
        <f>REGISTRO_B.DATOS!K433</f>
        <v>0</v>
      </c>
    </row>
    <row r="433" spans="1:11" x14ac:dyDescent="0.25">
      <c r="A433" s="40">
        <f>REGISTRO_B.DATOS!A434</f>
        <v>0</v>
      </c>
      <c r="B433" s="41">
        <f>REGISTRO_B.DATOS!B434</f>
        <v>0</v>
      </c>
      <c r="C433" s="41">
        <f>REGISTRO_B.DATOS!C434</f>
        <v>0</v>
      </c>
      <c r="D433" s="41">
        <f>REGISTRO_B.DATOS!D434</f>
        <v>0</v>
      </c>
      <c r="E433" s="42">
        <f>REGISTRO_B.DATOS!E434</f>
        <v>0</v>
      </c>
      <c r="F433" s="41">
        <f>REGISTRO_B.DATOS!F434</f>
        <v>0</v>
      </c>
      <c r="G433" s="41">
        <f>REGISTRO_B.DATOS!G434</f>
        <v>0</v>
      </c>
      <c r="H433" s="41">
        <f>REGISTRO_B.DATOS!H434</f>
        <v>0</v>
      </c>
      <c r="I433" s="41">
        <f>REGISTRO_B.DATOS!I434</f>
        <v>0</v>
      </c>
      <c r="J433" s="41">
        <f>REGISTRO_B.DATOS!J434</f>
        <v>0</v>
      </c>
      <c r="K433" s="43">
        <f>REGISTRO_B.DATOS!K434</f>
        <v>0</v>
      </c>
    </row>
    <row r="434" spans="1:11" x14ac:dyDescent="0.25">
      <c r="A434" s="40">
        <f>REGISTRO_B.DATOS!A435</f>
        <v>0</v>
      </c>
      <c r="B434" s="41">
        <f>REGISTRO_B.DATOS!B435</f>
        <v>0</v>
      </c>
      <c r="C434" s="41">
        <f>REGISTRO_B.DATOS!C435</f>
        <v>0</v>
      </c>
      <c r="D434" s="41">
        <f>REGISTRO_B.DATOS!D435</f>
        <v>0</v>
      </c>
      <c r="E434" s="42">
        <f>REGISTRO_B.DATOS!E435</f>
        <v>0</v>
      </c>
      <c r="F434" s="41">
        <f>REGISTRO_B.DATOS!F435</f>
        <v>0</v>
      </c>
      <c r="G434" s="41">
        <f>REGISTRO_B.DATOS!G435</f>
        <v>0</v>
      </c>
      <c r="H434" s="41">
        <f>REGISTRO_B.DATOS!H435</f>
        <v>0</v>
      </c>
      <c r="I434" s="41">
        <f>REGISTRO_B.DATOS!I435</f>
        <v>0</v>
      </c>
      <c r="J434" s="41">
        <f>REGISTRO_B.DATOS!J435</f>
        <v>0</v>
      </c>
      <c r="K434" s="43">
        <f>REGISTRO_B.DATOS!K435</f>
        <v>0</v>
      </c>
    </row>
    <row r="435" spans="1:11" x14ac:dyDescent="0.25">
      <c r="A435" s="40">
        <f>REGISTRO_B.DATOS!A436</f>
        <v>0</v>
      </c>
      <c r="B435" s="41">
        <f>REGISTRO_B.DATOS!B436</f>
        <v>0</v>
      </c>
      <c r="C435" s="41">
        <f>REGISTRO_B.DATOS!C436</f>
        <v>0</v>
      </c>
      <c r="D435" s="41">
        <f>REGISTRO_B.DATOS!D436</f>
        <v>0</v>
      </c>
      <c r="E435" s="42">
        <f>REGISTRO_B.DATOS!E436</f>
        <v>0</v>
      </c>
      <c r="F435" s="41">
        <f>REGISTRO_B.DATOS!F436</f>
        <v>0</v>
      </c>
      <c r="G435" s="41">
        <f>REGISTRO_B.DATOS!G436</f>
        <v>0</v>
      </c>
      <c r="H435" s="41">
        <f>REGISTRO_B.DATOS!H436</f>
        <v>0</v>
      </c>
      <c r="I435" s="41">
        <f>REGISTRO_B.DATOS!I436</f>
        <v>0</v>
      </c>
      <c r="J435" s="41">
        <f>REGISTRO_B.DATOS!J436</f>
        <v>0</v>
      </c>
      <c r="K435" s="43">
        <f>REGISTRO_B.DATOS!K436</f>
        <v>0</v>
      </c>
    </row>
    <row r="436" spans="1:11" x14ac:dyDescent="0.25">
      <c r="A436" s="40">
        <f>REGISTRO_B.DATOS!A437</f>
        <v>0</v>
      </c>
      <c r="B436" s="41">
        <f>REGISTRO_B.DATOS!B437</f>
        <v>0</v>
      </c>
      <c r="C436" s="41">
        <f>REGISTRO_B.DATOS!C437</f>
        <v>0</v>
      </c>
      <c r="D436" s="41">
        <f>REGISTRO_B.DATOS!D437</f>
        <v>0</v>
      </c>
      <c r="E436" s="42">
        <f>REGISTRO_B.DATOS!E437</f>
        <v>0</v>
      </c>
      <c r="F436" s="41">
        <f>REGISTRO_B.DATOS!F437</f>
        <v>0</v>
      </c>
      <c r="G436" s="41">
        <f>REGISTRO_B.DATOS!G437</f>
        <v>0</v>
      </c>
      <c r="H436" s="41">
        <f>REGISTRO_B.DATOS!H437</f>
        <v>0</v>
      </c>
      <c r="I436" s="41">
        <f>REGISTRO_B.DATOS!I437</f>
        <v>0</v>
      </c>
      <c r="J436" s="41">
        <f>REGISTRO_B.DATOS!J437</f>
        <v>0</v>
      </c>
      <c r="K436" s="43">
        <f>REGISTRO_B.DATOS!K437</f>
        <v>0</v>
      </c>
    </row>
    <row r="437" spans="1:11" x14ac:dyDescent="0.25">
      <c r="A437" s="40">
        <f>REGISTRO_B.DATOS!A438</f>
        <v>0</v>
      </c>
      <c r="B437" s="41">
        <f>REGISTRO_B.DATOS!B438</f>
        <v>0</v>
      </c>
      <c r="C437" s="41">
        <f>REGISTRO_B.DATOS!C438</f>
        <v>0</v>
      </c>
      <c r="D437" s="41">
        <f>REGISTRO_B.DATOS!D438</f>
        <v>0</v>
      </c>
      <c r="E437" s="42">
        <f>REGISTRO_B.DATOS!E438</f>
        <v>0</v>
      </c>
      <c r="F437" s="41">
        <f>REGISTRO_B.DATOS!F438</f>
        <v>0</v>
      </c>
      <c r="G437" s="41">
        <f>REGISTRO_B.DATOS!G438</f>
        <v>0</v>
      </c>
      <c r="H437" s="41">
        <f>REGISTRO_B.DATOS!H438</f>
        <v>0</v>
      </c>
      <c r="I437" s="41">
        <f>REGISTRO_B.DATOS!I438</f>
        <v>0</v>
      </c>
      <c r="J437" s="41">
        <f>REGISTRO_B.DATOS!J438</f>
        <v>0</v>
      </c>
      <c r="K437" s="43">
        <f>REGISTRO_B.DATOS!K438</f>
        <v>0</v>
      </c>
    </row>
    <row r="438" spans="1:11" x14ac:dyDescent="0.25">
      <c r="A438" s="40">
        <f>REGISTRO_B.DATOS!A439</f>
        <v>0</v>
      </c>
      <c r="B438" s="41">
        <f>REGISTRO_B.DATOS!B439</f>
        <v>0</v>
      </c>
      <c r="C438" s="41">
        <f>REGISTRO_B.DATOS!C439</f>
        <v>0</v>
      </c>
      <c r="D438" s="41">
        <f>REGISTRO_B.DATOS!D439</f>
        <v>0</v>
      </c>
      <c r="E438" s="42">
        <f>REGISTRO_B.DATOS!E439</f>
        <v>0</v>
      </c>
      <c r="F438" s="41">
        <f>REGISTRO_B.DATOS!F439</f>
        <v>0</v>
      </c>
      <c r="G438" s="41">
        <f>REGISTRO_B.DATOS!G439</f>
        <v>0</v>
      </c>
      <c r="H438" s="41">
        <f>REGISTRO_B.DATOS!H439</f>
        <v>0</v>
      </c>
      <c r="I438" s="41">
        <f>REGISTRO_B.DATOS!I439</f>
        <v>0</v>
      </c>
      <c r="J438" s="41">
        <f>REGISTRO_B.DATOS!J439</f>
        <v>0</v>
      </c>
      <c r="K438" s="43">
        <f>REGISTRO_B.DATOS!K439</f>
        <v>0</v>
      </c>
    </row>
    <row r="439" spans="1:11" x14ac:dyDescent="0.25">
      <c r="A439" s="40">
        <f>REGISTRO_B.DATOS!A440</f>
        <v>0</v>
      </c>
      <c r="B439" s="41">
        <f>REGISTRO_B.DATOS!B440</f>
        <v>0</v>
      </c>
      <c r="C439" s="41">
        <f>REGISTRO_B.DATOS!C440</f>
        <v>0</v>
      </c>
      <c r="D439" s="41">
        <f>REGISTRO_B.DATOS!D440</f>
        <v>0</v>
      </c>
      <c r="E439" s="42">
        <f>REGISTRO_B.DATOS!E440</f>
        <v>0</v>
      </c>
      <c r="F439" s="41">
        <f>REGISTRO_B.DATOS!F440</f>
        <v>0</v>
      </c>
      <c r="G439" s="41">
        <f>REGISTRO_B.DATOS!G440</f>
        <v>0</v>
      </c>
      <c r="H439" s="41">
        <f>REGISTRO_B.DATOS!H440</f>
        <v>0</v>
      </c>
      <c r="I439" s="41">
        <f>REGISTRO_B.DATOS!I440</f>
        <v>0</v>
      </c>
      <c r="J439" s="41">
        <f>REGISTRO_B.DATOS!J440</f>
        <v>0</v>
      </c>
      <c r="K439" s="43">
        <f>REGISTRO_B.DATOS!K440</f>
        <v>0</v>
      </c>
    </row>
    <row r="440" spans="1:11" x14ac:dyDescent="0.25">
      <c r="A440" s="40">
        <f>REGISTRO_B.DATOS!A441</f>
        <v>0</v>
      </c>
      <c r="B440" s="41">
        <f>REGISTRO_B.DATOS!B441</f>
        <v>0</v>
      </c>
      <c r="C440" s="41">
        <f>REGISTRO_B.DATOS!C441</f>
        <v>0</v>
      </c>
      <c r="D440" s="41">
        <f>REGISTRO_B.DATOS!D441</f>
        <v>0</v>
      </c>
      <c r="E440" s="42">
        <f>REGISTRO_B.DATOS!E441</f>
        <v>0</v>
      </c>
      <c r="F440" s="41">
        <f>REGISTRO_B.DATOS!F441</f>
        <v>0</v>
      </c>
      <c r="G440" s="41">
        <f>REGISTRO_B.DATOS!G441</f>
        <v>0</v>
      </c>
      <c r="H440" s="41">
        <f>REGISTRO_B.DATOS!H441</f>
        <v>0</v>
      </c>
      <c r="I440" s="41">
        <f>REGISTRO_B.DATOS!I441</f>
        <v>0</v>
      </c>
      <c r="J440" s="41">
        <f>REGISTRO_B.DATOS!J441</f>
        <v>0</v>
      </c>
      <c r="K440" s="43">
        <f>REGISTRO_B.DATOS!K441</f>
        <v>0</v>
      </c>
    </row>
    <row r="441" spans="1:11" x14ac:dyDescent="0.25">
      <c r="A441" s="40">
        <f>REGISTRO_B.DATOS!A442</f>
        <v>0</v>
      </c>
      <c r="B441" s="41">
        <f>REGISTRO_B.DATOS!B442</f>
        <v>0</v>
      </c>
      <c r="C441" s="41">
        <f>REGISTRO_B.DATOS!C442</f>
        <v>0</v>
      </c>
      <c r="D441" s="41">
        <f>REGISTRO_B.DATOS!D442</f>
        <v>0</v>
      </c>
      <c r="E441" s="42">
        <f>REGISTRO_B.DATOS!E442</f>
        <v>0</v>
      </c>
      <c r="F441" s="41">
        <f>REGISTRO_B.DATOS!F442</f>
        <v>0</v>
      </c>
      <c r="G441" s="41">
        <f>REGISTRO_B.DATOS!G442</f>
        <v>0</v>
      </c>
      <c r="H441" s="41">
        <f>REGISTRO_B.DATOS!H442</f>
        <v>0</v>
      </c>
      <c r="I441" s="41">
        <f>REGISTRO_B.DATOS!I442</f>
        <v>0</v>
      </c>
      <c r="J441" s="41">
        <f>REGISTRO_B.DATOS!J442</f>
        <v>0</v>
      </c>
      <c r="K441" s="43">
        <f>REGISTRO_B.DATOS!K442</f>
        <v>0</v>
      </c>
    </row>
    <row r="442" spans="1:11" x14ac:dyDescent="0.25">
      <c r="A442" s="40">
        <f>REGISTRO_B.DATOS!A443</f>
        <v>0</v>
      </c>
      <c r="B442" s="41">
        <f>REGISTRO_B.DATOS!B443</f>
        <v>0</v>
      </c>
      <c r="C442" s="41">
        <f>REGISTRO_B.DATOS!C443</f>
        <v>0</v>
      </c>
      <c r="D442" s="41">
        <f>REGISTRO_B.DATOS!D443</f>
        <v>0</v>
      </c>
      <c r="E442" s="42">
        <f>REGISTRO_B.DATOS!E443</f>
        <v>0</v>
      </c>
      <c r="F442" s="41">
        <f>REGISTRO_B.DATOS!F443</f>
        <v>0</v>
      </c>
      <c r="G442" s="41">
        <f>REGISTRO_B.DATOS!G443</f>
        <v>0</v>
      </c>
      <c r="H442" s="41">
        <f>REGISTRO_B.DATOS!H443</f>
        <v>0</v>
      </c>
      <c r="I442" s="41">
        <f>REGISTRO_B.DATOS!I443</f>
        <v>0</v>
      </c>
      <c r="J442" s="41">
        <f>REGISTRO_B.DATOS!J443</f>
        <v>0</v>
      </c>
      <c r="K442" s="43">
        <f>REGISTRO_B.DATOS!K443</f>
        <v>0</v>
      </c>
    </row>
    <row r="443" spans="1:11" x14ac:dyDescent="0.25">
      <c r="A443" s="40">
        <f>REGISTRO_B.DATOS!A444</f>
        <v>0</v>
      </c>
      <c r="B443" s="41">
        <f>REGISTRO_B.DATOS!B444</f>
        <v>0</v>
      </c>
      <c r="C443" s="41">
        <f>REGISTRO_B.DATOS!C444</f>
        <v>0</v>
      </c>
      <c r="D443" s="41">
        <f>REGISTRO_B.DATOS!D444</f>
        <v>0</v>
      </c>
      <c r="E443" s="42">
        <f>REGISTRO_B.DATOS!E444</f>
        <v>0</v>
      </c>
      <c r="F443" s="41">
        <f>REGISTRO_B.DATOS!F444</f>
        <v>0</v>
      </c>
      <c r="G443" s="41">
        <f>REGISTRO_B.DATOS!G444</f>
        <v>0</v>
      </c>
      <c r="H443" s="41">
        <f>REGISTRO_B.DATOS!H444</f>
        <v>0</v>
      </c>
      <c r="I443" s="41">
        <f>REGISTRO_B.DATOS!I444</f>
        <v>0</v>
      </c>
      <c r="J443" s="41">
        <f>REGISTRO_B.DATOS!J444</f>
        <v>0</v>
      </c>
      <c r="K443" s="43">
        <f>REGISTRO_B.DATOS!K444</f>
        <v>0</v>
      </c>
    </row>
    <row r="444" spans="1:11" x14ac:dyDescent="0.25">
      <c r="A444" s="40">
        <f>REGISTRO_B.DATOS!A445</f>
        <v>0</v>
      </c>
      <c r="B444" s="41">
        <f>REGISTRO_B.DATOS!B445</f>
        <v>0</v>
      </c>
      <c r="C444" s="41">
        <f>REGISTRO_B.DATOS!C445</f>
        <v>0</v>
      </c>
      <c r="D444" s="41">
        <f>REGISTRO_B.DATOS!D445</f>
        <v>0</v>
      </c>
      <c r="E444" s="42">
        <f>REGISTRO_B.DATOS!E445</f>
        <v>0</v>
      </c>
      <c r="F444" s="41">
        <f>REGISTRO_B.DATOS!F445</f>
        <v>0</v>
      </c>
      <c r="G444" s="41">
        <f>REGISTRO_B.DATOS!G445</f>
        <v>0</v>
      </c>
      <c r="H444" s="41">
        <f>REGISTRO_B.DATOS!H445</f>
        <v>0</v>
      </c>
      <c r="I444" s="41">
        <f>REGISTRO_B.DATOS!I445</f>
        <v>0</v>
      </c>
      <c r="J444" s="41">
        <f>REGISTRO_B.DATOS!J445</f>
        <v>0</v>
      </c>
      <c r="K444" s="43">
        <f>REGISTRO_B.DATOS!K445</f>
        <v>0</v>
      </c>
    </row>
    <row r="445" spans="1:11" x14ac:dyDescent="0.25">
      <c r="A445" s="40">
        <f>REGISTRO_B.DATOS!A446</f>
        <v>0</v>
      </c>
      <c r="B445" s="41">
        <f>REGISTRO_B.DATOS!B446</f>
        <v>0</v>
      </c>
      <c r="C445" s="41">
        <f>REGISTRO_B.DATOS!C446</f>
        <v>0</v>
      </c>
      <c r="D445" s="41">
        <f>REGISTRO_B.DATOS!D446</f>
        <v>0</v>
      </c>
      <c r="E445" s="42">
        <f>REGISTRO_B.DATOS!E446</f>
        <v>0</v>
      </c>
      <c r="F445" s="41">
        <f>REGISTRO_B.DATOS!F446</f>
        <v>0</v>
      </c>
      <c r="G445" s="41">
        <f>REGISTRO_B.DATOS!G446</f>
        <v>0</v>
      </c>
      <c r="H445" s="41">
        <f>REGISTRO_B.DATOS!H446</f>
        <v>0</v>
      </c>
      <c r="I445" s="41">
        <f>REGISTRO_B.DATOS!I446</f>
        <v>0</v>
      </c>
      <c r="J445" s="41">
        <f>REGISTRO_B.DATOS!J446</f>
        <v>0</v>
      </c>
      <c r="K445" s="43">
        <f>REGISTRO_B.DATOS!K446</f>
        <v>0</v>
      </c>
    </row>
    <row r="446" spans="1:11" x14ac:dyDescent="0.25">
      <c r="A446" s="40">
        <f>REGISTRO_B.DATOS!A447</f>
        <v>0</v>
      </c>
      <c r="B446" s="41">
        <f>REGISTRO_B.DATOS!B447</f>
        <v>0</v>
      </c>
      <c r="C446" s="41">
        <f>REGISTRO_B.DATOS!C447</f>
        <v>0</v>
      </c>
      <c r="D446" s="41">
        <f>REGISTRO_B.DATOS!D447</f>
        <v>0</v>
      </c>
      <c r="E446" s="42">
        <f>REGISTRO_B.DATOS!E447</f>
        <v>0</v>
      </c>
      <c r="F446" s="41">
        <f>REGISTRO_B.DATOS!F447</f>
        <v>0</v>
      </c>
      <c r="G446" s="41">
        <f>REGISTRO_B.DATOS!G447</f>
        <v>0</v>
      </c>
      <c r="H446" s="41">
        <f>REGISTRO_B.DATOS!H447</f>
        <v>0</v>
      </c>
      <c r="I446" s="41">
        <f>REGISTRO_B.DATOS!I447</f>
        <v>0</v>
      </c>
      <c r="J446" s="41">
        <f>REGISTRO_B.DATOS!J447</f>
        <v>0</v>
      </c>
      <c r="K446" s="43">
        <f>REGISTRO_B.DATOS!K447</f>
        <v>0</v>
      </c>
    </row>
    <row r="447" spans="1:11" x14ac:dyDescent="0.25">
      <c r="A447" s="40">
        <f>REGISTRO_B.DATOS!A448</f>
        <v>0</v>
      </c>
      <c r="B447" s="41">
        <f>REGISTRO_B.DATOS!B448</f>
        <v>0</v>
      </c>
      <c r="C447" s="41">
        <f>REGISTRO_B.DATOS!C448</f>
        <v>0</v>
      </c>
      <c r="D447" s="41">
        <f>REGISTRO_B.DATOS!D448</f>
        <v>0</v>
      </c>
      <c r="E447" s="42">
        <f>REGISTRO_B.DATOS!E448</f>
        <v>0</v>
      </c>
      <c r="F447" s="41">
        <f>REGISTRO_B.DATOS!F448</f>
        <v>0</v>
      </c>
      <c r="G447" s="41">
        <f>REGISTRO_B.DATOS!G448</f>
        <v>0</v>
      </c>
      <c r="H447" s="41">
        <f>REGISTRO_B.DATOS!H448</f>
        <v>0</v>
      </c>
      <c r="I447" s="41">
        <f>REGISTRO_B.DATOS!I448</f>
        <v>0</v>
      </c>
      <c r="J447" s="41">
        <f>REGISTRO_B.DATOS!J448</f>
        <v>0</v>
      </c>
      <c r="K447" s="43">
        <f>REGISTRO_B.DATOS!K448</f>
        <v>0</v>
      </c>
    </row>
    <row r="448" spans="1:11" x14ac:dyDescent="0.25">
      <c r="A448" s="40">
        <f>REGISTRO_B.DATOS!A449</f>
        <v>0</v>
      </c>
      <c r="B448" s="41">
        <f>REGISTRO_B.DATOS!B449</f>
        <v>0</v>
      </c>
      <c r="C448" s="41">
        <f>REGISTRO_B.DATOS!C449</f>
        <v>0</v>
      </c>
      <c r="D448" s="41">
        <f>REGISTRO_B.DATOS!D449</f>
        <v>0</v>
      </c>
      <c r="E448" s="42">
        <f>REGISTRO_B.DATOS!E449</f>
        <v>0</v>
      </c>
      <c r="F448" s="41">
        <f>REGISTRO_B.DATOS!F449</f>
        <v>0</v>
      </c>
      <c r="G448" s="41">
        <f>REGISTRO_B.DATOS!G449</f>
        <v>0</v>
      </c>
      <c r="H448" s="41">
        <f>REGISTRO_B.DATOS!H449</f>
        <v>0</v>
      </c>
      <c r="I448" s="41">
        <f>REGISTRO_B.DATOS!I449</f>
        <v>0</v>
      </c>
      <c r="J448" s="41">
        <f>REGISTRO_B.DATOS!J449</f>
        <v>0</v>
      </c>
      <c r="K448" s="43">
        <f>REGISTRO_B.DATOS!K449</f>
        <v>0</v>
      </c>
    </row>
    <row r="449" spans="1:11" x14ac:dyDescent="0.25">
      <c r="A449" s="40">
        <f>REGISTRO_B.DATOS!A450</f>
        <v>0</v>
      </c>
      <c r="B449" s="41">
        <f>REGISTRO_B.DATOS!B450</f>
        <v>0</v>
      </c>
      <c r="C449" s="41">
        <f>REGISTRO_B.DATOS!C450</f>
        <v>0</v>
      </c>
      <c r="D449" s="41">
        <f>REGISTRO_B.DATOS!D450</f>
        <v>0</v>
      </c>
      <c r="E449" s="42">
        <f>REGISTRO_B.DATOS!E450</f>
        <v>0</v>
      </c>
      <c r="F449" s="41">
        <f>REGISTRO_B.DATOS!F450</f>
        <v>0</v>
      </c>
      <c r="G449" s="41">
        <f>REGISTRO_B.DATOS!G450</f>
        <v>0</v>
      </c>
      <c r="H449" s="41">
        <f>REGISTRO_B.DATOS!H450</f>
        <v>0</v>
      </c>
      <c r="I449" s="41">
        <f>REGISTRO_B.DATOS!I450</f>
        <v>0</v>
      </c>
      <c r="J449" s="41">
        <f>REGISTRO_B.DATOS!J450</f>
        <v>0</v>
      </c>
      <c r="K449" s="43">
        <f>REGISTRO_B.DATOS!K450</f>
        <v>0</v>
      </c>
    </row>
    <row r="450" spans="1:11" x14ac:dyDescent="0.25">
      <c r="A450" s="40">
        <f>REGISTRO_B.DATOS!A451</f>
        <v>0</v>
      </c>
      <c r="B450" s="41">
        <f>REGISTRO_B.DATOS!B451</f>
        <v>0</v>
      </c>
      <c r="C450" s="41">
        <f>REGISTRO_B.DATOS!C451</f>
        <v>0</v>
      </c>
      <c r="D450" s="41">
        <f>REGISTRO_B.DATOS!D451</f>
        <v>0</v>
      </c>
      <c r="E450" s="42">
        <f>REGISTRO_B.DATOS!E451</f>
        <v>0</v>
      </c>
      <c r="F450" s="41">
        <f>REGISTRO_B.DATOS!F451</f>
        <v>0</v>
      </c>
      <c r="G450" s="41">
        <f>REGISTRO_B.DATOS!G451</f>
        <v>0</v>
      </c>
      <c r="H450" s="41">
        <f>REGISTRO_B.DATOS!H451</f>
        <v>0</v>
      </c>
      <c r="I450" s="41">
        <f>REGISTRO_B.DATOS!I451</f>
        <v>0</v>
      </c>
      <c r="J450" s="41">
        <f>REGISTRO_B.DATOS!J451</f>
        <v>0</v>
      </c>
      <c r="K450" s="43">
        <f>REGISTRO_B.DATOS!K451</f>
        <v>0</v>
      </c>
    </row>
    <row r="451" spans="1:11" x14ac:dyDescent="0.25">
      <c r="A451" s="40">
        <f>REGISTRO_B.DATOS!A452</f>
        <v>0</v>
      </c>
      <c r="B451" s="41">
        <f>REGISTRO_B.DATOS!B452</f>
        <v>0</v>
      </c>
      <c r="C451" s="41">
        <f>REGISTRO_B.DATOS!C452</f>
        <v>0</v>
      </c>
      <c r="D451" s="41">
        <f>REGISTRO_B.DATOS!D452</f>
        <v>0</v>
      </c>
      <c r="E451" s="42">
        <f>REGISTRO_B.DATOS!E452</f>
        <v>0</v>
      </c>
      <c r="F451" s="41">
        <f>REGISTRO_B.DATOS!F452</f>
        <v>0</v>
      </c>
      <c r="G451" s="41">
        <f>REGISTRO_B.DATOS!G452</f>
        <v>0</v>
      </c>
      <c r="H451" s="41">
        <f>REGISTRO_B.DATOS!H452</f>
        <v>0</v>
      </c>
      <c r="I451" s="41">
        <f>REGISTRO_B.DATOS!I452</f>
        <v>0</v>
      </c>
      <c r="J451" s="41">
        <f>REGISTRO_B.DATOS!J452</f>
        <v>0</v>
      </c>
      <c r="K451" s="43">
        <f>REGISTRO_B.DATOS!K452</f>
        <v>0</v>
      </c>
    </row>
    <row r="452" spans="1:11" x14ac:dyDescent="0.25">
      <c r="A452" s="40">
        <f>REGISTRO_B.DATOS!A453</f>
        <v>0</v>
      </c>
      <c r="B452" s="41">
        <f>REGISTRO_B.DATOS!B453</f>
        <v>0</v>
      </c>
      <c r="C452" s="41">
        <f>REGISTRO_B.DATOS!C453</f>
        <v>0</v>
      </c>
      <c r="D452" s="41">
        <f>REGISTRO_B.DATOS!D453</f>
        <v>0</v>
      </c>
      <c r="E452" s="42">
        <f>REGISTRO_B.DATOS!E453</f>
        <v>0</v>
      </c>
      <c r="F452" s="41">
        <f>REGISTRO_B.DATOS!F453</f>
        <v>0</v>
      </c>
      <c r="G452" s="41">
        <f>REGISTRO_B.DATOS!G453</f>
        <v>0</v>
      </c>
      <c r="H452" s="41">
        <f>REGISTRO_B.DATOS!H453</f>
        <v>0</v>
      </c>
      <c r="I452" s="41">
        <f>REGISTRO_B.DATOS!I453</f>
        <v>0</v>
      </c>
      <c r="J452" s="41">
        <f>REGISTRO_B.DATOS!J453</f>
        <v>0</v>
      </c>
      <c r="K452" s="43">
        <f>REGISTRO_B.DATOS!K453</f>
        <v>0</v>
      </c>
    </row>
    <row r="453" spans="1:11" x14ac:dyDescent="0.25">
      <c r="A453" s="40">
        <f>REGISTRO_B.DATOS!A454</f>
        <v>0</v>
      </c>
      <c r="B453" s="41">
        <f>REGISTRO_B.DATOS!B454</f>
        <v>0</v>
      </c>
      <c r="C453" s="41">
        <f>REGISTRO_B.DATOS!C454</f>
        <v>0</v>
      </c>
      <c r="D453" s="41">
        <f>REGISTRO_B.DATOS!D454</f>
        <v>0</v>
      </c>
      <c r="E453" s="42">
        <f>REGISTRO_B.DATOS!E454</f>
        <v>0</v>
      </c>
      <c r="F453" s="41">
        <f>REGISTRO_B.DATOS!F454</f>
        <v>0</v>
      </c>
      <c r="G453" s="41">
        <f>REGISTRO_B.DATOS!G454</f>
        <v>0</v>
      </c>
      <c r="H453" s="41">
        <f>REGISTRO_B.DATOS!H454</f>
        <v>0</v>
      </c>
      <c r="I453" s="41">
        <f>REGISTRO_B.DATOS!I454</f>
        <v>0</v>
      </c>
      <c r="J453" s="41">
        <f>REGISTRO_B.DATOS!J454</f>
        <v>0</v>
      </c>
      <c r="K453" s="43">
        <f>REGISTRO_B.DATOS!K454</f>
        <v>0</v>
      </c>
    </row>
    <row r="454" spans="1:11" x14ac:dyDescent="0.25">
      <c r="A454" s="40">
        <f>REGISTRO_B.DATOS!A455</f>
        <v>0</v>
      </c>
      <c r="B454" s="41">
        <f>REGISTRO_B.DATOS!B455</f>
        <v>0</v>
      </c>
      <c r="C454" s="41">
        <f>REGISTRO_B.DATOS!C455</f>
        <v>0</v>
      </c>
      <c r="D454" s="41">
        <f>REGISTRO_B.DATOS!D455</f>
        <v>0</v>
      </c>
      <c r="E454" s="42">
        <f>REGISTRO_B.DATOS!E455</f>
        <v>0</v>
      </c>
      <c r="F454" s="41">
        <f>REGISTRO_B.DATOS!F455</f>
        <v>0</v>
      </c>
      <c r="G454" s="41">
        <f>REGISTRO_B.DATOS!G455</f>
        <v>0</v>
      </c>
      <c r="H454" s="41">
        <f>REGISTRO_B.DATOS!H455</f>
        <v>0</v>
      </c>
      <c r="I454" s="41">
        <f>REGISTRO_B.DATOS!I455</f>
        <v>0</v>
      </c>
      <c r="J454" s="41">
        <f>REGISTRO_B.DATOS!J455</f>
        <v>0</v>
      </c>
      <c r="K454" s="43">
        <f>REGISTRO_B.DATOS!K455</f>
        <v>0</v>
      </c>
    </row>
    <row r="455" spans="1:11" x14ac:dyDescent="0.25">
      <c r="A455" s="40">
        <f>REGISTRO_B.DATOS!A456</f>
        <v>0</v>
      </c>
      <c r="B455" s="41">
        <f>REGISTRO_B.DATOS!B456</f>
        <v>0</v>
      </c>
      <c r="C455" s="41">
        <f>REGISTRO_B.DATOS!C456</f>
        <v>0</v>
      </c>
      <c r="D455" s="41">
        <f>REGISTRO_B.DATOS!D456</f>
        <v>0</v>
      </c>
      <c r="E455" s="42">
        <f>REGISTRO_B.DATOS!E456</f>
        <v>0</v>
      </c>
      <c r="F455" s="41">
        <f>REGISTRO_B.DATOS!F456</f>
        <v>0</v>
      </c>
      <c r="G455" s="41">
        <f>REGISTRO_B.DATOS!G456</f>
        <v>0</v>
      </c>
      <c r="H455" s="41">
        <f>REGISTRO_B.DATOS!H456</f>
        <v>0</v>
      </c>
      <c r="I455" s="41">
        <f>REGISTRO_B.DATOS!I456</f>
        <v>0</v>
      </c>
      <c r="J455" s="41">
        <f>REGISTRO_B.DATOS!J456</f>
        <v>0</v>
      </c>
      <c r="K455" s="43">
        <f>REGISTRO_B.DATOS!K456</f>
        <v>0</v>
      </c>
    </row>
    <row r="456" spans="1:11" x14ac:dyDescent="0.25">
      <c r="A456" s="40">
        <f>REGISTRO_B.DATOS!A457</f>
        <v>0</v>
      </c>
      <c r="B456" s="41">
        <f>REGISTRO_B.DATOS!B457</f>
        <v>0</v>
      </c>
      <c r="C456" s="41">
        <f>REGISTRO_B.DATOS!C457</f>
        <v>0</v>
      </c>
      <c r="D456" s="41">
        <f>REGISTRO_B.DATOS!D457</f>
        <v>0</v>
      </c>
      <c r="E456" s="42">
        <f>REGISTRO_B.DATOS!E457</f>
        <v>0</v>
      </c>
      <c r="F456" s="41">
        <f>REGISTRO_B.DATOS!F457</f>
        <v>0</v>
      </c>
      <c r="G456" s="41">
        <f>REGISTRO_B.DATOS!G457</f>
        <v>0</v>
      </c>
      <c r="H456" s="41">
        <f>REGISTRO_B.DATOS!H457</f>
        <v>0</v>
      </c>
      <c r="I456" s="41">
        <f>REGISTRO_B.DATOS!I457</f>
        <v>0</v>
      </c>
      <c r="J456" s="41">
        <f>REGISTRO_B.DATOS!J457</f>
        <v>0</v>
      </c>
      <c r="K456" s="43">
        <f>REGISTRO_B.DATOS!K457</f>
        <v>0</v>
      </c>
    </row>
    <row r="457" spans="1:11" x14ac:dyDescent="0.25">
      <c r="A457" s="40">
        <f>REGISTRO_B.DATOS!A458</f>
        <v>0</v>
      </c>
      <c r="B457" s="41">
        <f>REGISTRO_B.DATOS!B458</f>
        <v>0</v>
      </c>
      <c r="C457" s="41">
        <f>REGISTRO_B.DATOS!C458</f>
        <v>0</v>
      </c>
      <c r="D457" s="41">
        <f>REGISTRO_B.DATOS!D458</f>
        <v>0</v>
      </c>
      <c r="E457" s="42">
        <f>REGISTRO_B.DATOS!E458</f>
        <v>0</v>
      </c>
      <c r="F457" s="41">
        <f>REGISTRO_B.DATOS!F458</f>
        <v>0</v>
      </c>
      <c r="G457" s="41">
        <f>REGISTRO_B.DATOS!G458</f>
        <v>0</v>
      </c>
      <c r="H457" s="41">
        <f>REGISTRO_B.DATOS!H458</f>
        <v>0</v>
      </c>
      <c r="I457" s="41">
        <f>REGISTRO_B.DATOS!I458</f>
        <v>0</v>
      </c>
      <c r="J457" s="41">
        <f>REGISTRO_B.DATOS!J458</f>
        <v>0</v>
      </c>
      <c r="K457" s="43">
        <f>REGISTRO_B.DATOS!K458</f>
        <v>0</v>
      </c>
    </row>
    <row r="458" spans="1:11" x14ac:dyDescent="0.25">
      <c r="A458" s="40">
        <f>REGISTRO_B.DATOS!A459</f>
        <v>0</v>
      </c>
      <c r="B458" s="41">
        <f>REGISTRO_B.DATOS!B459</f>
        <v>0</v>
      </c>
      <c r="C458" s="41">
        <f>REGISTRO_B.DATOS!C459</f>
        <v>0</v>
      </c>
      <c r="D458" s="41">
        <f>REGISTRO_B.DATOS!D459</f>
        <v>0</v>
      </c>
      <c r="E458" s="42">
        <f>REGISTRO_B.DATOS!E459</f>
        <v>0</v>
      </c>
      <c r="F458" s="41">
        <f>REGISTRO_B.DATOS!F459</f>
        <v>0</v>
      </c>
      <c r="G458" s="41">
        <f>REGISTRO_B.DATOS!G459</f>
        <v>0</v>
      </c>
      <c r="H458" s="41">
        <f>REGISTRO_B.DATOS!H459</f>
        <v>0</v>
      </c>
      <c r="I458" s="41">
        <f>REGISTRO_B.DATOS!I459</f>
        <v>0</v>
      </c>
      <c r="J458" s="41">
        <f>REGISTRO_B.DATOS!J459</f>
        <v>0</v>
      </c>
      <c r="K458" s="43">
        <f>REGISTRO_B.DATOS!K459</f>
        <v>0</v>
      </c>
    </row>
    <row r="459" spans="1:11" x14ac:dyDescent="0.25">
      <c r="A459" s="40">
        <f>REGISTRO_B.DATOS!A460</f>
        <v>0</v>
      </c>
      <c r="B459" s="41">
        <f>REGISTRO_B.DATOS!B460</f>
        <v>0</v>
      </c>
      <c r="C459" s="41">
        <f>REGISTRO_B.DATOS!C460</f>
        <v>0</v>
      </c>
      <c r="D459" s="41">
        <f>REGISTRO_B.DATOS!D460</f>
        <v>0</v>
      </c>
      <c r="E459" s="42">
        <f>REGISTRO_B.DATOS!E460</f>
        <v>0</v>
      </c>
      <c r="F459" s="41">
        <f>REGISTRO_B.DATOS!F460</f>
        <v>0</v>
      </c>
      <c r="G459" s="41">
        <f>REGISTRO_B.DATOS!G460</f>
        <v>0</v>
      </c>
      <c r="H459" s="41">
        <f>REGISTRO_B.DATOS!H460</f>
        <v>0</v>
      </c>
      <c r="I459" s="41">
        <f>REGISTRO_B.DATOS!I460</f>
        <v>0</v>
      </c>
      <c r="J459" s="41">
        <f>REGISTRO_B.DATOS!J460</f>
        <v>0</v>
      </c>
      <c r="K459" s="43">
        <f>REGISTRO_B.DATOS!K460</f>
        <v>0</v>
      </c>
    </row>
    <row r="460" spans="1:11" x14ac:dyDescent="0.25">
      <c r="A460" s="40">
        <f>REGISTRO_B.DATOS!A461</f>
        <v>0</v>
      </c>
      <c r="B460" s="41">
        <f>REGISTRO_B.DATOS!B461</f>
        <v>0</v>
      </c>
      <c r="C460" s="41">
        <f>REGISTRO_B.DATOS!C461</f>
        <v>0</v>
      </c>
      <c r="D460" s="41">
        <f>REGISTRO_B.DATOS!D461</f>
        <v>0</v>
      </c>
      <c r="E460" s="42">
        <f>REGISTRO_B.DATOS!E461</f>
        <v>0</v>
      </c>
      <c r="F460" s="41">
        <f>REGISTRO_B.DATOS!F461</f>
        <v>0</v>
      </c>
      <c r="G460" s="41">
        <f>REGISTRO_B.DATOS!G461</f>
        <v>0</v>
      </c>
      <c r="H460" s="41">
        <f>REGISTRO_B.DATOS!H461</f>
        <v>0</v>
      </c>
      <c r="I460" s="41">
        <f>REGISTRO_B.DATOS!I461</f>
        <v>0</v>
      </c>
      <c r="J460" s="41">
        <f>REGISTRO_B.DATOS!J461</f>
        <v>0</v>
      </c>
      <c r="K460" s="43">
        <f>REGISTRO_B.DATOS!K461</f>
        <v>0</v>
      </c>
    </row>
    <row r="461" spans="1:11" x14ac:dyDescent="0.25">
      <c r="A461" s="40">
        <f>REGISTRO_B.DATOS!A462</f>
        <v>0</v>
      </c>
      <c r="B461" s="41">
        <f>REGISTRO_B.DATOS!B462</f>
        <v>0</v>
      </c>
      <c r="C461" s="41">
        <f>REGISTRO_B.DATOS!C462</f>
        <v>0</v>
      </c>
      <c r="D461" s="41">
        <f>REGISTRO_B.DATOS!D462</f>
        <v>0</v>
      </c>
      <c r="E461" s="42">
        <f>REGISTRO_B.DATOS!E462</f>
        <v>0</v>
      </c>
      <c r="F461" s="41">
        <f>REGISTRO_B.DATOS!F462</f>
        <v>0</v>
      </c>
      <c r="G461" s="41">
        <f>REGISTRO_B.DATOS!G462</f>
        <v>0</v>
      </c>
      <c r="H461" s="41">
        <f>REGISTRO_B.DATOS!H462</f>
        <v>0</v>
      </c>
      <c r="I461" s="41">
        <f>REGISTRO_B.DATOS!I462</f>
        <v>0</v>
      </c>
      <c r="J461" s="41">
        <f>REGISTRO_B.DATOS!J462</f>
        <v>0</v>
      </c>
      <c r="K461" s="43">
        <f>REGISTRO_B.DATOS!K462</f>
        <v>0</v>
      </c>
    </row>
    <row r="462" spans="1:11" x14ac:dyDescent="0.25">
      <c r="A462" s="40">
        <f>REGISTRO_B.DATOS!A463</f>
        <v>0</v>
      </c>
      <c r="B462" s="41">
        <f>REGISTRO_B.DATOS!B463</f>
        <v>0</v>
      </c>
      <c r="C462" s="41">
        <f>REGISTRO_B.DATOS!C463</f>
        <v>0</v>
      </c>
      <c r="D462" s="41">
        <f>REGISTRO_B.DATOS!D463</f>
        <v>0</v>
      </c>
      <c r="E462" s="42">
        <f>REGISTRO_B.DATOS!E463</f>
        <v>0</v>
      </c>
      <c r="F462" s="41">
        <f>REGISTRO_B.DATOS!F463</f>
        <v>0</v>
      </c>
      <c r="G462" s="41">
        <f>REGISTRO_B.DATOS!G463</f>
        <v>0</v>
      </c>
      <c r="H462" s="41">
        <f>REGISTRO_B.DATOS!H463</f>
        <v>0</v>
      </c>
      <c r="I462" s="41">
        <f>REGISTRO_B.DATOS!I463</f>
        <v>0</v>
      </c>
      <c r="J462" s="41">
        <f>REGISTRO_B.DATOS!J463</f>
        <v>0</v>
      </c>
      <c r="K462" s="43">
        <f>REGISTRO_B.DATOS!K463</f>
        <v>0</v>
      </c>
    </row>
    <row r="463" spans="1:11" x14ac:dyDescent="0.25">
      <c r="A463" s="40">
        <f>REGISTRO_B.DATOS!A464</f>
        <v>0</v>
      </c>
      <c r="B463" s="41">
        <f>REGISTRO_B.DATOS!B464</f>
        <v>0</v>
      </c>
      <c r="C463" s="41">
        <f>REGISTRO_B.DATOS!C464</f>
        <v>0</v>
      </c>
      <c r="D463" s="41">
        <f>REGISTRO_B.DATOS!D464</f>
        <v>0</v>
      </c>
      <c r="E463" s="42">
        <f>REGISTRO_B.DATOS!E464</f>
        <v>0</v>
      </c>
      <c r="F463" s="41">
        <f>REGISTRO_B.DATOS!F464</f>
        <v>0</v>
      </c>
      <c r="G463" s="41">
        <f>REGISTRO_B.DATOS!G464</f>
        <v>0</v>
      </c>
      <c r="H463" s="41">
        <f>REGISTRO_B.DATOS!H464</f>
        <v>0</v>
      </c>
      <c r="I463" s="41">
        <f>REGISTRO_B.DATOS!I464</f>
        <v>0</v>
      </c>
      <c r="J463" s="41">
        <f>REGISTRO_B.DATOS!J464</f>
        <v>0</v>
      </c>
      <c r="K463" s="43">
        <f>REGISTRO_B.DATOS!K464</f>
        <v>0</v>
      </c>
    </row>
    <row r="464" spans="1:11" x14ac:dyDescent="0.25">
      <c r="A464" s="40">
        <f>REGISTRO_B.DATOS!A465</f>
        <v>0</v>
      </c>
      <c r="B464" s="41">
        <f>REGISTRO_B.DATOS!B465</f>
        <v>0</v>
      </c>
      <c r="C464" s="41">
        <f>REGISTRO_B.DATOS!C465</f>
        <v>0</v>
      </c>
      <c r="D464" s="41">
        <f>REGISTRO_B.DATOS!D465</f>
        <v>0</v>
      </c>
      <c r="E464" s="42">
        <f>REGISTRO_B.DATOS!E465</f>
        <v>0</v>
      </c>
      <c r="F464" s="41">
        <f>REGISTRO_B.DATOS!F465</f>
        <v>0</v>
      </c>
      <c r="G464" s="41">
        <f>REGISTRO_B.DATOS!G465</f>
        <v>0</v>
      </c>
      <c r="H464" s="41">
        <f>REGISTRO_B.DATOS!H465</f>
        <v>0</v>
      </c>
      <c r="I464" s="41">
        <f>REGISTRO_B.DATOS!I465</f>
        <v>0</v>
      </c>
      <c r="J464" s="41">
        <f>REGISTRO_B.DATOS!J465</f>
        <v>0</v>
      </c>
      <c r="K464" s="43">
        <f>REGISTRO_B.DATOS!K465</f>
        <v>0</v>
      </c>
    </row>
    <row r="465" spans="1:11" x14ac:dyDescent="0.25">
      <c r="A465" s="40">
        <f>REGISTRO_B.DATOS!A466</f>
        <v>0</v>
      </c>
      <c r="B465" s="41">
        <f>REGISTRO_B.DATOS!B466</f>
        <v>0</v>
      </c>
      <c r="C465" s="41">
        <f>REGISTRO_B.DATOS!C466</f>
        <v>0</v>
      </c>
      <c r="D465" s="41">
        <f>REGISTRO_B.DATOS!D466</f>
        <v>0</v>
      </c>
      <c r="E465" s="42">
        <f>REGISTRO_B.DATOS!E466</f>
        <v>0</v>
      </c>
      <c r="F465" s="41">
        <f>REGISTRO_B.DATOS!F466</f>
        <v>0</v>
      </c>
      <c r="G465" s="41">
        <f>REGISTRO_B.DATOS!G466</f>
        <v>0</v>
      </c>
      <c r="H465" s="41">
        <f>REGISTRO_B.DATOS!H466</f>
        <v>0</v>
      </c>
      <c r="I465" s="41">
        <f>REGISTRO_B.DATOS!I466</f>
        <v>0</v>
      </c>
      <c r="J465" s="41">
        <f>REGISTRO_B.DATOS!J466</f>
        <v>0</v>
      </c>
      <c r="K465" s="43">
        <f>REGISTRO_B.DATOS!K466</f>
        <v>0</v>
      </c>
    </row>
    <row r="466" spans="1:11" x14ac:dyDescent="0.25">
      <c r="A466" s="40">
        <f>REGISTRO_B.DATOS!A467</f>
        <v>0</v>
      </c>
      <c r="B466" s="41">
        <f>REGISTRO_B.DATOS!B467</f>
        <v>0</v>
      </c>
      <c r="C466" s="41">
        <f>REGISTRO_B.DATOS!C467</f>
        <v>0</v>
      </c>
      <c r="D466" s="41">
        <f>REGISTRO_B.DATOS!D467</f>
        <v>0</v>
      </c>
      <c r="E466" s="42">
        <f>REGISTRO_B.DATOS!E467</f>
        <v>0</v>
      </c>
      <c r="F466" s="41">
        <f>REGISTRO_B.DATOS!F467</f>
        <v>0</v>
      </c>
      <c r="G466" s="41">
        <f>REGISTRO_B.DATOS!G467</f>
        <v>0</v>
      </c>
      <c r="H466" s="41">
        <f>REGISTRO_B.DATOS!H467</f>
        <v>0</v>
      </c>
      <c r="I466" s="41">
        <f>REGISTRO_B.DATOS!I467</f>
        <v>0</v>
      </c>
      <c r="J466" s="41">
        <f>REGISTRO_B.DATOS!J467</f>
        <v>0</v>
      </c>
      <c r="K466" s="43">
        <f>REGISTRO_B.DATOS!K467</f>
        <v>0</v>
      </c>
    </row>
    <row r="467" spans="1:11" x14ac:dyDescent="0.25">
      <c r="A467" s="40">
        <f>REGISTRO_B.DATOS!A468</f>
        <v>0</v>
      </c>
      <c r="B467" s="41">
        <f>REGISTRO_B.DATOS!B468</f>
        <v>0</v>
      </c>
      <c r="C467" s="41">
        <f>REGISTRO_B.DATOS!C468</f>
        <v>0</v>
      </c>
      <c r="D467" s="41">
        <f>REGISTRO_B.DATOS!D468</f>
        <v>0</v>
      </c>
      <c r="E467" s="42">
        <f>REGISTRO_B.DATOS!E468</f>
        <v>0</v>
      </c>
      <c r="F467" s="41">
        <f>REGISTRO_B.DATOS!F468</f>
        <v>0</v>
      </c>
      <c r="G467" s="41">
        <f>REGISTRO_B.DATOS!G468</f>
        <v>0</v>
      </c>
      <c r="H467" s="41">
        <f>REGISTRO_B.DATOS!H468</f>
        <v>0</v>
      </c>
      <c r="I467" s="41">
        <f>REGISTRO_B.DATOS!I468</f>
        <v>0</v>
      </c>
      <c r="J467" s="41">
        <f>REGISTRO_B.DATOS!J468</f>
        <v>0</v>
      </c>
      <c r="K467" s="43">
        <f>REGISTRO_B.DATOS!K468</f>
        <v>0</v>
      </c>
    </row>
    <row r="468" spans="1:11" x14ac:dyDescent="0.25">
      <c r="A468" s="40">
        <f>REGISTRO_B.DATOS!A469</f>
        <v>0</v>
      </c>
      <c r="B468" s="41">
        <f>REGISTRO_B.DATOS!B469</f>
        <v>0</v>
      </c>
      <c r="C468" s="41">
        <f>REGISTRO_B.DATOS!C469</f>
        <v>0</v>
      </c>
      <c r="D468" s="41">
        <f>REGISTRO_B.DATOS!D469</f>
        <v>0</v>
      </c>
      <c r="E468" s="42">
        <f>REGISTRO_B.DATOS!E469</f>
        <v>0</v>
      </c>
      <c r="F468" s="41">
        <f>REGISTRO_B.DATOS!F469</f>
        <v>0</v>
      </c>
      <c r="G468" s="41">
        <f>REGISTRO_B.DATOS!G469</f>
        <v>0</v>
      </c>
      <c r="H468" s="41">
        <f>REGISTRO_B.DATOS!H469</f>
        <v>0</v>
      </c>
      <c r="I468" s="41">
        <f>REGISTRO_B.DATOS!I469</f>
        <v>0</v>
      </c>
      <c r="J468" s="41">
        <f>REGISTRO_B.DATOS!J469</f>
        <v>0</v>
      </c>
      <c r="K468" s="43">
        <f>REGISTRO_B.DATOS!K469</f>
        <v>0</v>
      </c>
    </row>
    <row r="469" spans="1:11" x14ac:dyDescent="0.25">
      <c r="A469" s="40">
        <f>REGISTRO_B.DATOS!A470</f>
        <v>0</v>
      </c>
      <c r="B469" s="41">
        <f>REGISTRO_B.DATOS!B470</f>
        <v>0</v>
      </c>
      <c r="C469" s="41">
        <f>REGISTRO_B.DATOS!C470</f>
        <v>0</v>
      </c>
      <c r="D469" s="41">
        <f>REGISTRO_B.DATOS!D470</f>
        <v>0</v>
      </c>
      <c r="E469" s="42">
        <f>REGISTRO_B.DATOS!E470</f>
        <v>0</v>
      </c>
      <c r="F469" s="41">
        <f>REGISTRO_B.DATOS!F470</f>
        <v>0</v>
      </c>
      <c r="G469" s="41">
        <f>REGISTRO_B.DATOS!G470</f>
        <v>0</v>
      </c>
      <c r="H469" s="41">
        <f>REGISTRO_B.DATOS!H470</f>
        <v>0</v>
      </c>
      <c r="I469" s="41">
        <f>REGISTRO_B.DATOS!I470</f>
        <v>0</v>
      </c>
      <c r="J469" s="41">
        <f>REGISTRO_B.DATOS!J470</f>
        <v>0</v>
      </c>
      <c r="K469" s="43">
        <f>REGISTRO_B.DATOS!K470</f>
        <v>0</v>
      </c>
    </row>
    <row r="470" spans="1:11" x14ac:dyDescent="0.25">
      <c r="A470" s="40">
        <f>REGISTRO_B.DATOS!A471</f>
        <v>0</v>
      </c>
      <c r="B470" s="41">
        <f>REGISTRO_B.DATOS!B471</f>
        <v>0</v>
      </c>
      <c r="C470" s="41">
        <f>REGISTRO_B.DATOS!C471</f>
        <v>0</v>
      </c>
      <c r="D470" s="41">
        <f>REGISTRO_B.DATOS!D471</f>
        <v>0</v>
      </c>
      <c r="E470" s="42">
        <f>REGISTRO_B.DATOS!E471</f>
        <v>0</v>
      </c>
      <c r="F470" s="41">
        <f>REGISTRO_B.DATOS!F471</f>
        <v>0</v>
      </c>
      <c r="G470" s="41">
        <f>REGISTRO_B.DATOS!G471</f>
        <v>0</v>
      </c>
      <c r="H470" s="41">
        <f>REGISTRO_B.DATOS!H471</f>
        <v>0</v>
      </c>
      <c r="I470" s="41">
        <f>REGISTRO_B.DATOS!I471</f>
        <v>0</v>
      </c>
      <c r="J470" s="41">
        <f>REGISTRO_B.DATOS!J471</f>
        <v>0</v>
      </c>
      <c r="K470" s="43">
        <f>REGISTRO_B.DATOS!K471</f>
        <v>0</v>
      </c>
    </row>
    <row r="471" spans="1:11" x14ac:dyDescent="0.25">
      <c r="A471" s="40">
        <f>REGISTRO_B.DATOS!A472</f>
        <v>0</v>
      </c>
      <c r="B471" s="41">
        <f>REGISTRO_B.DATOS!B472</f>
        <v>0</v>
      </c>
      <c r="C471" s="41">
        <f>REGISTRO_B.DATOS!C472</f>
        <v>0</v>
      </c>
      <c r="D471" s="41">
        <f>REGISTRO_B.DATOS!D472</f>
        <v>0</v>
      </c>
      <c r="E471" s="42">
        <f>REGISTRO_B.DATOS!E472</f>
        <v>0</v>
      </c>
      <c r="F471" s="41">
        <f>REGISTRO_B.DATOS!F472</f>
        <v>0</v>
      </c>
      <c r="G471" s="41">
        <f>REGISTRO_B.DATOS!G472</f>
        <v>0</v>
      </c>
      <c r="H471" s="41">
        <f>REGISTRO_B.DATOS!H472</f>
        <v>0</v>
      </c>
      <c r="I471" s="41">
        <f>REGISTRO_B.DATOS!I472</f>
        <v>0</v>
      </c>
      <c r="J471" s="41">
        <f>REGISTRO_B.DATOS!J472</f>
        <v>0</v>
      </c>
      <c r="K471" s="43">
        <f>REGISTRO_B.DATOS!K472</f>
        <v>0</v>
      </c>
    </row>
    <row r="472" spans="1:11" x14ac:dyDescent="0.25">
      <c r="A472" s="40">
        <f>REGISTRO_B.DATOS!A473</f>
        <v>0</v>
      </c>
      <c r="B472" s="41">
        <f>REGISTRO_B.DATOS!B473</f>
        <v>0</v>
      </c>
      <c r="C472" s="41">
        <f>REGISTRO_B.DATOS!C473</f>
        <v>0</v>
      </c>
      <c r="D472" s="41">
        <f>REGISTRO_B.DATOS!D473</f>
        <v>0</v>
      </c>
      <c r="E472" s="42">
        <f>REGISTRO_B.DATOS!E473</f>
        <v>0</v>
      </c>
      <c r="F472" s="41">
        <f>REGISTRO_B.DATOS!F473</f>
        <v>0</v>
      </c>
      <c r="G472" s="41">
        <f>REGISTRO_B.DATOS!G473</f>
        <v>0</v>
      </c>
      <c r="H472" s="41">
        <f>REGISTRO_B.DATOS!H473</f>
        <v>0</v>
      </c>
      <c r="I472" s="41">
        <f>REGISTRO_B.DATOS!I473</f>
        <v>0</v>
      </c>
      <c r="J472" s="41">
        <f>REGISTRO_B.DATOS!J473</f>
        <v>0</v>
      </c>
      <c r="K472" s="43">
        <f>REGISTRO_B.DATOS!K473</f>
        <v>0</v>
      </c>
    </row>
    <row r="473" spans="1:11" x14ac:dyDescent="0.25">
      <c r="A473" s="40">
        <f>REGISTRO_B.DATOS!A474</f>
        <v>0</v>
      </c>
      <c r="B473" s="41">
        <f>REGISTRO_B.DATOS!B474</f>
        <v>0</v>
      </c>
      <c r="C473" s="41">
        <f>REGISTRO_B.DATOS!C474</f>
        <v>0</v>
      </c>
      <c r="D473" s="41">
        <f>REGISTRO_B.DATOS!D474</f>
        <v>0</v>
      </c>
      <c r="E473" s="42">
        <f>REGISTRO_B.DATOS!E474</f>
        <v>0</v>
      </c>
      <c r="F473" s="41">
        <f>REGISTRO_B.DATOS!F474</f>
        <v>0</v>
      </c>
      <c r="G473" s="41">
        <f>REGISTRO_B.DATOS!G474</f>
        <v>0</v>
      </c>
      <c r="H473" s="41">
        <f>REGISTRO_B.DATOS!H474</f>
        <v>0</v>
      </c>
      <c r="I473" s="41">
        <f>REGISTRO_B.DATOS!I474</f>
        <v>0</v>
      </c>
      <c r="J473" s="41">
        <f>REGISTRO_B.DATOS!J474</f>
        <v>0</v>
      </c>
      <c r="K473" s="43">
        <f>REGISTRO_B.DATOS!K474</f>
        <v>0</v>
      </c>
    </row>
    <row r="474" spans="1:11" x14ac:dyDescent="0.25">
      <c r="A474" s="40">
        <f>REGISTRO_B.DATOS!A475</f>
        <v>0</v>
      </c>
      <c r="B474" s="41">
        <f>REGISTRO_B.DATOS!B475</f>
        <v>0</v>
      </c>
      <c r="C474" s="41">
        <f>REGISTRO_B.DATOS!C475</f>
        <v>0</v>
      </c>
      <c r="D474" s="41">
        <f>REGISTRO_B.DATOS!D475</f>
        <v>0</v>
      </c>
      <c r="E474" s="42">
        <f>REGISTRO_B.DATOS!E475</f>
        <v>0</v>
      </c>
      <c r="F474" s="41">
        <f>REGISTRO_B.DATOS!F475</f>
        <v>0</v>
      </c>
      <c r="G474" s="41">
        <f>REGISTRO_B.DATOS!G475</f>
        <v>0</v>
      </c>
      <c r="H474" s="41">
        <f>REGISTRO_B.DATOS!H475</f>
        <v>0</v>
      </c>
      <c r="I474" s="41">
        <f>REGISTRO_B.DATOS!I475</f>
        <v>0</v>
      </c>
      <c r="J474" s="41">
        <f>REGISTRO_B.DATOS!J475</f>
        <v>0</v>
      </c>
      <c r="K474" s="43">
        <f>REGISTRO_B.DATOS!K475</f>
        <v>0</v>
      </c>
    </row>
    <row r="475" spans="1:11" x14ac:dyDescent="0.25">
      <c r="A475" s="40">
        <f>REGISTRO_B.DATOS!A476</f>
        <v>0</v>
      </c>
      <c r="B475" s="41">
        <f>REGISTRO_B.DATOS!B476</f>
        <v>0</v>
      </c>
      <c r="C475" s="41">
        <f>REGISTRO_B.DATOS!C476</f>
        <v>0</v>
      </c>
      <c r="D475" s="41">
        <f>REGISTRO_B.DATOS!D476</f>
        <v>0</v>
      </c>
      <c r="E475" s="42">
        <f>REGISTRO_B.DATOS!E476</f>
        <v>0</v>
      </c>
      <c r="F475" s="41">
        <f>REGISTRO_B.DATOS!F476</f>
        <v>0</v>
      </c>
      <c r="G475" s="41">
        <f>REGISTRO_B.DATOS!G476</f>
        <v>0</v>
      </c>
      <c r="H475" s="41">
        <f>REGISTRO_B.DATOS!H476</f>
        <v>0</v>
      </c>
      <c r="I475" s="41">
        <f>REGISTRO_B.DATOS!I476</f>
        <v>0</v>
      </c>
      <c r="J475" s="41">
        <f>REGISTRO_B.DATOS!J476</f>
        <v>0</v>
      </c>
      <c r="K475" s="43">
        <f>REGISTRO_B.DATOS!K476</f>
        <v>0</v>
      </c>
    </row>
    <row r="476" spans="1:11" x14ac:dyDescent="0.25">
      <c r="A476" s="40">
        <f>REGISTRO_B.DATOS!A477</f>
        <v>0</v>
      </c>
      <c r="B476" s="41">
        <f>REGISTRO_B.DATOS!B477</f>
        <v>0</v>
      </c>
      <c r="C476" s="41">
        <f>REGISTRO_B.DATOS!C477</f>
        <v>0</v>
      </c>
      <c r="D476" s="41">
        <f>REGISTRO_B.DATOS!D477</f>
        <v>0</v>
      </c>
      <c r="E476" s="42">
        <f>REGISTRO_B.DATOS!E477</f>
        <v>0</v>
      </c>
      <c r="F476" s="41">
        <f>REGISTRO_B.DATOS!F477</f>
        <v>0</v>
      </c>
      <c r="G476" s="41">
        <f>REGISTRO_B.DATOS!G477</f>
        <v>0</v>
      </c>
      <c r="H476" s="41">
        <f>REGISTRO_B.DATOS!H477</f>
        <v>0</v>
      </c>
      <c r="I476" s="41">
        <f>REGISTRO_B.DATOS!I477</f>
        <v>0</v>
      </c>
      <c r="J476" s="41">
        <f>REGISTRO_B.DATOS!J477</f>
        <v>0</v>
      </c>
      <c r="K476" s="43">
        <f>REGISTRO_B.DATOS!K477</f>
        <v>0</v>
      </c>
    </row>
    <row r="477" spans="1:11" x14ac:dyDescent="0.25">
      <c r="A477" s="40">
        <f>REGISTRO_B.DATOS!A478</f>
        <v>0</v>
      </c>
      <c r="B477" s="41">
        <f>REGISTRO_B.DATOS!B478</f>
        <v>0</v>
      </c>
      <c r="C477" s="41">
        <f>REGISTRO_B.DATOS!C478</f>
        <v>0</v>
      </c>
      <c r="D477" s="41">
        <f>REGISTRO_B.DATOS!D478</f>
        <v>0</v>
      </c>
      <c r="E477" s="42">
        <f>REGISTRO_B.DATOS!E478</f>
        <v>0</v>
      </c>
      <c r="F477" s="41">
        <f>REGISTRO_B.DATOS!F478</f>
        <v>0</v>
      </c>
      <c r="G477" s="41">
        <f>REGISTRO_B.DATOS!G478</f>
        <v>0</v>
      </c>
      <c r="H477" s="41">
        <f>REGISTRO_B.DATOS!H478</f>
        <v>0</v>
      </c>
      <c r="I477" s="41">
        <f>REGISTRO_B.DATOS!I478</f>
        <v>0</v>
      </c>
      <c r="J477" s="41">
        <f>REGISTRO_B.DATOS!J478</f>
        <v>0</v>
      </c>
      <c r="K477" s="43">
        <f>REGISTRO_B.DATOS!K478</f>
        <v>0</v>
      </c>
    </row>
    <row r="478" spans="1:11" x14ac:dyDescent="0.25">
      <c r="A478" s="40">
        <f>REGISTRO_B.DATOS!A479</f>
        <v>0</v>
      </c>
      <c r="B478" s="41">
        <f>REGISTRO_B.DATOS!B479</f>
        <v>0</v>
      </c>
      <c r="C478" s="41">
        <f>REGISTRO_B.DATOS!C479</f>
        <v>0</v>
      </c>
      <c r="D478" s="41">
        <f>REGISTRO_B.DATOS!D479</f>
        <v>0</v>
      </c>
      <c r="E478" s="42">
        <f>REGISTRO_B.DATOS!E479</f>
        <v>0</v>
      </c>
      <c r="F478" s="41">
        <f>REGISTRO_B.DATOS!F479</f>
        <v>0</v>
      </c>
      <c r="G478" s="41">
        <f>REGISTRO_B.DATOS!G479</f>
        <v>0</v>
      </c>
      <c r="H478" s="41">
        <f>REGISTRO_B.DATOS!H479</f>
        <v>0</v>
      </c>
      <c r="I478" s="41">
        <f>REGISTRO_B.DATOS!I479</f>
        <v>0</v>
      </c>
      <c r="J478" s="41">
        <f>REGISTRO_B.DATOS!J479</f>
        <v>0</v>
      </c>
      <c r="K478" s="43">
        <f>REGISTRO_B.DATOS!K479</f>
        <v>0</v>
      </c>
    </row>
    <row r="479" spans="1:11" x14ac:dyDescent="0.25">
      <c r="A479" s="40">
        <f>REGISTRO_B.DATOS!A480</f>
        <v>0</v>
      </c>
      <c r="B479" s="41">
        <f>REGISTRO_B.DATOS!B480</f>
        <v>0</v>
      </c>
      <c r="C479" s="41">
        <f>REGISTRO_B.DATOS!C480</f>
        <v>0</v>
      </c>
      <c r="D479" s="41">
        <f>REGISTRO_B.DATOS!D480</f>
        <v>0</v>
      </c>
      <c r="E479" s="42">
        <f>REGISTRO_B.DATOS!E480</f>
        <v>0</v>
      </c>
      <c r="F479" s="41">
        <f>REGISTRO_B.DATOS!F480</f>
        <v>0</v>
      </c>
      <c r="G479" s="41">
        <f>REGISTRO_B.DATOS!G480</f>
        <v>0</v>
      </c>
      <c r="H479" s="41">
        <f>REGISTRO_B.DATOS!H480</f>
        <v>0</v>
      </c>
      <c r="I479" s="41">
        <f>REGISTRO_B.DATOS!I480</f>
        <v>0</v>
      </c>
      <c r="J479" s="41">
        <f>REGISTRO_B.DATOS!J480</f>
        <v>0</v>
      </c>
      <c r="K479" s="43">
        <f>REGISTRO_B.DATOS!K480</f>
        <v>0</v>
      </c>
    </row>
    <row r="480" spans="1:11" x14ac:dyDescent="0.25">
      <c r="A480" s="40">
        <f>REGISTRO_B.DATOS!A481</f>
        <v>0</v>
      </c>
      <c r="B480" s="41">
        <f>REGISTRO_B.DATOS!B481</f>
        <v>0</v>
      </c>
      <c r="C480" s="41">
        <f>REGISTRO_B.DATOS!C481</f>
        <v>0</v>
      </c>
      <c r="D480" s="41">
        <f>REGISTRO_B.DATOS!D481</f>
        <v>0</v>
      </c>
      <c r="E480" s="42">
        <f>REGISTRO_B.DATOS!E481</f>
        <v>0</v>
      </c>
      <c r="F480" s="41">
        <f>REGISTRO_B.DATOS!F481</f>
        <v>0</v>
      </c>
      <c r="G480" s="41">
        <f>REGISTRO_B.DATOS!G481</f>
        <v>0</v>
      </c>
      <c r="H480" s="41">
        <f>REGISTRO_B.DATOS!H481</f>
        <v>0</v>
      </c>
      <c r="I480" s="41">
        <f>REGISTRO_B.DATOS!I481</f>
        <v>0</v>
      </c>
      <c r="J480" s="41">
        <f>REGISTRO_B.DATOS!J481</f>
        <v>0</v>
      </c>
      <c r="K480" s="43">
        <f>REGISTRO_B.DATOS!K481</f>
        <v>0</v>
      </c>
    </row>
    <row r="481" spans="1:11" x14ac:dyDescent="0.25">
      <c r="A481" s="40">
        <f>REGISTRO_B.DATOS!A482</f>
        <v>0</v>
      </c>
      <c r="B481" s="41">
        <f>REGISTRO_B.DATOS!B482</f>
        <v>0</v>
      </c>
      <c r="C481" s="41">
        <f>REGISTRO_B.DATOS!C482</f>
        <v>0</v>
      </c>
      <c r="D481" s="41">
        <f>REGISTRO_B.DATOS!D482</f>
        <v>0</v>
      </c>
      <c r="E481" s="42">
        <f>REGISTRO_B.DATOS!E482</f>
        <v>0</v>
      </c>
      <c r="F481" s="41">
        <f>REGISTRO_B.DATOS!F482</f>
        <v>0</v>
      </c>
      <c r="G481" s="41">
        <f>REGISTRO_B.DATOS!G482</f>
        <v>0</v>
      </c>
      <c r="H481" s="41">
        <f>REGISTRO_B.DATOS!H482</f>
        <v>0</v>
      </c>
      <c r="I481" s="41">
        <f>REGISTRO_B.DATOS!I482</f>
        <v>0</v>
      </c>
      <c r="J481" s="41">
        <f>REGISTRO_B.DATOS!J482</f>
        <v>0</v>
      </c>
      <c r="K481" s="43">
        <f>REGISTRO_B.DATOS!K482</f>
        <v>0</v>
      </c>
    </row>
    <row r="482" spans="1:11" x14ac:dyDescent="0.25">
      <c r="A482" s="40">
        <f>REGISTRO_B.DATOS!A483</f>
        <v>0</v>
      </c>
      <c r="B482" s="41">
        <f>REGISTRO_B.DATOS!B483</f>
        <v>0</v>
      </c>
      <c r="C482" s="41">
        <f>REGISTRO_B.DATOS!C483</f>
        <v>0</v>
      </c>
      <c r="D482" s="41">
        <f>REGISTRO_B.DATOS!D483</f>
        <v>0</v>
      </c>
      <c r="E482" s="42">
        <f>REGISTRO_B.DATOS!E483</f>
        <v>0</v>
      </c>
      <c r="F482" s="41">
        <f>REGISTRO_B.DATOS!F483</f>
        <v>0</v>
      </c>
      <c r="G482" s="41">
        <f>REGISTRO_B.DATOS!G483</f>
        <v>0</v>
      </c>
      <c r="H482" s="41">
        <f>REGISTRO_B.DATOS!H483</f>
        <v>0</v>
      </c>
      <c r="I482" s="41">
        <f>REGISTRO_B.DATOS!I483</f>
        <v>0</v>
      </c>
      <c r="J482" s="41">
        <f>REGISTRO_B.DATOS!J483</f>
        <v>0</v>
      </c>
      <c r="K482" s="43">
        <f>REGISTRO_B.DATOS!K483</f>
        <v>0</v>
      </c>
    </row>
    <row r="483" spans="1:11" x14ac:dyDescent="0.25">
      <c r="A483" s="40">
        <f>REGISTRO_B.DATOS!A484</f>
        <v>0</v>
      </c>
      <c r="B483" s="41">
        <f>REGISTRO_B.DATOS!B484</f>
        <v>0</v>
      </c>
      <c r="C483" s="41">
        <f>REGISTRO_B.DATOS!C484</f>
        <v>0</v>
      </c>
      <c r="D483" s="41">
        <f>REGISTRO_B.DATOS!D484</f>
        <v>0</v>
      </c>
      <c r="E483" s="42">
        <f>REGISTRO_B.DATOS!E484</f>
        <v>0</v>
      </c>
      <c r="F483" s="41">
        <f>REGISTRO_B.DATOS!F484</f>
        <v>0</v>
      </c>
      <c r="G483" s="41">
        <f>REGISTRO_B.DATOS!G484</f>
        <v>0</v>
      </c>
      <c r="H483" s="41">
        <f>REGISTRO_B.DATOS!H484</f>
        <v>0</v>
      </c>
      <c r="I483" s="41">
        <f>REGISTRO_B.DATOS!I484</f>
        <v>0</v>
      </c>
      <c r="J483" s="41">
        <f>REGISTRO_B.DATOS!J484</f>
        <v>0</v>
      </c>
      <c r="K483" s="43">
        <f>REGISTRO_B.DATOS!K484</f>
        <v>0</v>
      </c>
    </row>
    <row r="484" spans="1:11" x14ac:dyDescent="0.25">
      <c r="A484" s="40">
        <f>REGISTRO_B.DATOS!A485</f>
        <v>0</v>
      </c>
      <c r="B484" s="41">
        <f>REGISTRO_B.DATOS!B485</f>
        <v>0</v>
      </c>
      <c r="C484" s="41">
        <f>REGISTRO_B.DATOS!C485</f>
        <v>0</v>
      </c>
      <c r="D484" s="41">
        <f>REGISTRO_B.DATOS!D485</f>
        <v>0</v>
      </c>
      <c r="E484" s="42">
        <f>REGISTRO_B.DATOS!E485</f>
        <v>0</v>
      </c>
      <c r="F484" s="41">
        <f>REGISTRO_B.DATOS!F485</f>
        <v>0</v>
      </c>
      <c r="G484" s="41">
        <f>REGISTRO_B.DATOS!G485</f>
        <v>0</v>
      </c>
      <c r="H484" s="41">
        <f>REGISTRO_B.DATOS!H485</f>
        <v>0</v>
      </c>
      <c r="I484" s="41">
        <f>REGISTRO_B.DATOS!I485</f>
        <v>0</v>
      </c>
      <c r="J484" s="41">
        <f>REGISTRO_B.DATOS!J485</f>
        <v>0</v>
      </c>
      <c r="K484" s="43">
        <f>REGISTRO_B.DATOS!K485</f>
        <v>0</v>
      </c>
    </row>
    <row r="485" spans="1:11" x14ac:dyDescent="0.25">
      <c r="A485" s="40">
        <f>REGISTRO_B.DATOS!A486</f>
        <v>0</v>
      </c>
      <c r="B485" s="41">
        <f>REGISTRO_B.DATOS!B486</f>
        <v>0</v>
      </c>
      <c r="C485" s="41">
        <f>REGISTRO_B.DATOS!C486</f>
        <v>0</v>
      </c>
      <c r="D485" s="41">
        <f>REGISTRO_B.DATOS!D486</f>
        <v>0</v>
      </c>
      <c r="E485" s="42">
        <f>REGISTRO_B.DATOS!E486</f>
        <v>0</v>
      </c>
      <c r="F485" s="41">
        <f>REGISTRO_B.DATOS!F486</f>
        <v>0</v>
      </c>
      <c r="G485" s="41">
        <f>REGISTRO_B.DATOS!G486</f>
        <v>0</v>
      </c>
      <c r="H485" s="41">
        <f>REGISTRO_B.DATOS!H486</f>
        <v>0</v>
      </c>
      <c r="I485" s="41">
        <f>REGISTRO_B.DATOS!I486</f>
        <v>0</v>
      </c>
      <c r="J485" s="41">
        <f>REGISTRO_B.DATOS!J486</f>
        <v>0</v>
      </c>
      <c r="K485" s="43">
        <f>REGISTRO_B.DATOS!K486</f>
        <v>0</v>
      </c>
    </row>
    <row r="486" spans="1:11" x14ac:dyDescent="0.25">
      <c r="A486" s="40">
        <f>REGISTRO_B.DATOS!A487</f>
        <v>0</v>
      </c>
      <c r="B486" s="41">
        <f>REGISTRO_B.DATOS!B487</f>
        <v>0</v>
      </c>
      <c r="C486" s="41">
        <f>REGISTRO_B.DATOS!C487</f>
        <v>0</v>
      </c>
      <c r="D486" s="41">
        <f>REGISTRO_B.DATOS!D487</f>
        <v>0</v>
      </c>
      <c r="E486" s="42">
        <f>REGISTRO_B.DATOS!E487</f>
        <v>0</v>
      </c>
      <c r="F486" s="41">
        <f>REGISTRO_B.DATOS!F487</f>
        <v>0</v>
      </c>
      <c r="G486" s="41">
        <f>REGISTRO_B.DATOS!G487</f>
        <v>0</v>
      </c>
      <c r="H486" s="41">
        <f>REGISTRO_B.DATOS!H487</f>
        <v>0</v>
      </c>
      <c r="I486" s="41">
        <f>REGISTRO_B.DATOS!I487</f>
        <v>0</v>
      </c>
      <c r="J486" s="41">
        <f>REGISTRO_B.DATOS!J487</f>
        <v>0</v>
      </c>
      <c r="K486" s="43">
        <f>REGISTRO_B.DATOS!K487</f>
        <v>0</v>
      </c>
    </row>
    <row r="487" spans="1:11" x14ac:dyDescent="0.25">
      <c r="A487" s="40">
        <f>REGISTRO_B.DATOS!A488</f>
        <v>0</v>
      </c>
      <c r="B487" s="41">
        <f>REGISTRO_B.DATOS!B488</f>
        <v>0</v>
      </c>
      <c r="C487" s="41">
        <f>REGISTRO_B.DATOS!C488</f>
        <v>0</v>
      </c>
      <c r="D487" s="41">
        <f>REGISTRO_B.DATOS!D488</f>
        <v>0</v>
      </c>
      <c r="E487" s="42">
        <f>REGISTRO_B.DATOS!E488</f>
        <v>0</v>
      </c>
      <c r="F487" s="41">
        <f>REGISTRO_B.DATOS!F488</f>
        <v>0</v>
      </c>
      <c r="G487" s="41">
        <f>REGISTRO_B.DATOS!G488</f>
        <v>0</v>
      </c>
      <c r="H487" s="41">
        <f>REGISTRO_B.DATOS!H488</f>
        <v>0</v>
      </c>
      <c r="I487" s="41">
        <f>REGISTRO_B.DATOS!I488</f>
        <v>0</v>
      </c>
      <c r="J487" s="41">
        <f>REGISTRO_B.DATOS!J488</f>
        <v>0</v>
      </c>
      <c r="K487" s="43">
        <f>REGISTRO_B.DATOS!K488</f>
        <v>0</v>
      </c>
    </row>
    <row r="488" spans="1:11" x14ac:dyDescent="0.25">
      <c r="A488" s="40">
        <f>REGISTRO_B.DATOS!A489</f>
        <v>0</v>
      </c>
      <c r="B488" s="41">
        <f>REGISTRO_B.DATOS!B489</f>
        <v>0</v>
      </c>
      <c r="C488" s="41">
        <f>REGISTRO_B.DATOS!C489</f>
        <v>0</v>
      </c>
      <c r="D488" s="41">
        <f>REGISTRO_B.DATOS!D489</f>
        <v>0</v>
      </c>
      <c r="E488" s="42">
        <f>REGISTRO_B.DATOS!E489</f>
        <v>0</v>
      </c>
      <c r="F488" s="41">
        <f>REGISTRO_B.DATOS!F489</f>
        <v>0</v>
      </c>
      <c r="G488" s="41">
        <f>REGISTRO_B.DATOS!G489</f>
        <v>0</v>
      </c>
      <c r="H488" s="41">
        <f>REGISTRO_B.DATOS!H489</f>
        <v>0</v>
      </c>
      <c r="I488" s="41">
        <f>REGISTRO_B.DATOS!I489</f>
        <v>0</v>
      </c>
      <c r="J488" s="41">
        <f>REGISTRO_B.DATOS!J489</f>
        <v>0</v>
      </c>
      <c r="K488" s="43">
        <f>REGISTRO_B.DATOS!K489</f>
        <v>0</v>
      </c>
    </row>
    <row r="489" spans="1:11" x14ac:dyDescent="0.25">
      <c r="A489" s="40">
        <f>REGISTRO_B.DATOS!A490</f>
        <v>0</v>
      </c>
      <c r="B489" s="41">
        <f>REGISTRO_B.DATOS!B490</f>
        <v>0</v>
      </c>
      <c r="C489" s="41">
        <f>REGISTRO_B.DATOS!C490</f>
        <v>0</v>
      </c>
      <c r="D489" s="41">
        <f>REGISTRO_B.DATOS!D490</f>
        <v>0</v>
      </c>
      <c r="E489" s="42">
        <f>REGISTRO_B.DATOS!E490</f>
        <v>0</v>
      </c>
      <c r="F489" s="41">
        <f>REGISTRO_B.DATOS!F490</f>
        <v>0</v>
      </c>
      <c r="G489" s="41">
        <f>REGISTRO_B.DATOS!G490</f>
        <v>0</v>
      </c>
      <c r="H489" s="41">
        <f>REGISTRO_B.DATOS!H490</f>
        <v>0</v>
      </c>
      <c r="I489" s="41">
        <f>REGISTRO_B.DATOS!I490</f>
        <v>0</v>
      </c>
      <c r="J489" s="41">
        <f>REGISTRO_B.DATOS!J490</f>
        <v>0</v>
      </c>
      <c r="K489" s="43">
        <f>REGISTRO_B.DATOS!K490</f>
        <v>0</v>
      </c>
    </row>
    <row r="490" spans="1:11" x14ac:dyDescent="0.25">
      <c r="A490" s="40">
        <f>REGISTRO_B.DATOS!A491</f>
        <v>0</v>
      </c>
      <c r="B490" s="41">
        <f>REGISTRO_B.DATOS!B491</f>
        <v>0</v>
      </c>
      <c r="C490" s="41">
        <f>REGISTRO_B.DATOS!C491</f>
        <v>0</v>
      </c>
      <c r="D490" s="41">
        <f>REGISTRO_B.DATOS!D491</f>
        <v>0</v>
      </c>
      <c r="E490" s="42">
        <f>REGISTRO_B.DATOS!E491</f>
        <v>0</v>
      </c>
      <c r="F490" s="41">
        <f>REGISTRO_B.DATOS!F491</f>
        <v>0</v>
      </c>
      <c r="G490" s="41">
        <f>REGISTRO_B.DATOS!G491</f>
        <v>0</v>
      </c>
      <c r="H490" s="41">
        <f>REGISTRO_B.DATOS!H491</f>
        <v>0</v>
      </c>
      <c r="I490" s="41">
        <f>REGISTRO_B.DATOS!I491</f>
        <v>0</v>
      </c>
      <c r="J490" s="41">
        <f>REGISTRO_B.DATOS!J491</f>
        <v>0</v>
      </c>
      <c r="K490" s="43">
        <f>REGISTRO_B.DATOS!K491</f>
        <v>0</v>
      </c>
    </row>
    <row r="491" spans="1:11" x14ac:dyDescent="0.25">
      <c r="A491" s="40">
        <f>REGISTRO_B.DATOS!A492</f>
        <v>0</v>
      </c>
      <c r="B491" s="41">
        <f>REGISTRO_B.DATOS!B492</f>
        <v>0</v>
      </c>
      <c r="C491" s="41">
        <f>REGISTRO_B.DATOS!C492</f>
        <v>0</v>
      </c>
      <c r="D491" s="41">
        <f>REGISTRO_B.DATOS!D492</f>
        <v>0</v>
      </c>
      <c r="E491" s="42">
        <f>REGISTRO_B.DATOS!E492</f>
        <v>0</v>
      </c>
      <c r="F491" s="41">
        <f>REGISTRO_B.DATOS!F492</f>
        <v>0</v>
      </c>
      <c r="G491" s="41">
        <f>REGISTRO_B.DATOS!G492</f>
        <v>0</v>
      </c>
      <c r="H491" s="41">
        <f>REGISTRO_B.DATOS!H492</f>
        <v>0</v>
      </c>
      <c r="I491" s="41">
        <f>REGISTRO_B.DATOS!I492</f>
        <v>0</v>
      </c>
      <c r="J491" s="41">
        <f>REGISTRO_B.DATOS!J492</f>
        <v>0</v>
      </c>
      <c r="K491" s="43">
        <f>REGISTRO_B.DATOS!K492</f>
        <v>0</v>
      </c>
    </row>
    <row r="492" spans="1:11" x14ac:dyDescent="0.25">
      <c r="A492" s="40">
        <f>REGISTRO_B.DATOS!A493</f>
        <v>0</v>
      </c>
      <c r="B492" s="41">
        <f>REGISTRO_B.DATOS!B493</f>
        <v>0</v>
      </c>
      <c r="C492" s="41">
        <f>REGISTRO_B.DATOS!C493</f>
        <v>0</v>
      </c>
      <c r="D492" s="41">
        <f>REGISTRO_B.DATOS!D493</f>
        <v>0</v>
      </c>
      <c r="E492" s="42">
        <f>REGISTRO_B.DATOS!E493</f>
        <v>0</v>
      </c>
      <c r="F492" s="41">
        <f>REGISTRO_B.DATOS!F493</f>
        <v>0</v>
      </c>
      <c r="G492" s="41">
        <f>REGISTRO_B.DATOS!G493</f>
        <v>0</v>
      </c>
      <c r="H492" s="41">
        <f>REGISTRO_B.DATOS!H493</f>
        <v>0</v>
      </c>
      <c r="I492" s="41">
        <f>REGISTRO_B.DATOS!I493</f>
        <v>0</v>
      </c>
      <c r="J492" s="41">
        <f>REGISTRO_B.DATOS!J493</f>
        <v>0</v>
      </c>
      <c r="K492" s="43">
        <f>REGISTRO_B.DATOS!K493</f>
        <v>0</v>
      </c>
    </row>
    <row r="493" spans="1:11" x14ac:dyDescent="0.25">
      <c r="A493" s="40">
        <f>REGISTRO_B.DATOS!A494</f>
        <v>0</v>
      </c>
      <c r="B493" s="41">
        <f>REGISTRO_B.DATOS!B494</f>
        <v>0</v>
      </c>
      <c r="C493" s="41">
        <f>REGISTRO_B.DATOS!C494</f>
        <v>0</v>
      </c>
      <c r="D493" s="41">
        <f>REGISTRO_B.DATOS!D494</f>
        <v>0</v>
      </c>
      <c r="E493" s="42">
        <f>REGISTRO_B.DATOS!E494</f>
        <v>0</v>
      </c>
      <c r="F493" s="41">
        <f>REGISTRO_B.DATOS!F494</f>
        <v>0</v>
      </c>
      <c r="G493" s="41">
        <f>REGISTRO_B.DATOS!G494</f>
        <v>0</v>
      </c>
      <c r="H493" s="41">
        <f>REGISTRO_B.DATOS!H494</f>
        <v>0</v>
      </c>
      <c r="I493" s="41">
        <f>REGISTRO_B.DATOS!I494</f>
        <v>0</v>
      </c>
      <c r="J493" s="41">
        <f>REGISTRO_B.DATOS!J494</f>
        <v>0</v>
      </c>
      <c r="K493" s="43">
        <f>REGISTRO_B.DATOS!K494</f>
        <v>0</v>
      </c>
    </row>
    <row r="494" spans="1:11" x14ac:dyDescent="0.25">
      <c r="A494" s="40">
        <f>REGISTRO_B.DATOS!A495</f>
        <v>0</v>
      </c>
      <c r="B494" s="41">
        <f>REGISTRO_B.DATOS!B495</f>
        <v>0</v>
      </c>
      <c r="C494" s="41">
        <f>REGISTRO_B.DATOS!C495</f>
        <v>0</v>
      </c>
      <c r="D494" s="41">
        <f>REGISTRO_B.DATOS!D495</f>
        <v>0</v>
      </c>
      <c r="E494" s="42">
        <f>REGISTRO_B.DATOS!E495</f>
        <v>0</v>
      </c>
      <c r="F494" s="41">
        <f>REGISTRO_B.DATOS!F495</f>
        <v>0</v>
      </c>
      <c r="G494" s="41">
        <f>REGISTRO_B.DATOS!G495</f>
        <v>0</v>
      </c>
      <c r="H494" s="41">
        <f>REGISTRO_B.DATOS!H495</f>
        <v>0</v>
      </c>
      <c r="I494" s="41">
        <f>REGISTRO_B.DATOS!I495</f>
        <v>0</v>
      </c>
      <c r="J494" s="41">
        <f>REGISTRO_B.DATOS!J495</f>
        <v>0</v>
      </c>
      <c r="K494" s="43">
        <f>REGISTRO_B.DATOS!K495</f>
        <v>0</v>
      </c>
    </row>
    <row r="495" spans="1:11" x14ac:dyDescent="0.25">
      <c r="A495" s="40">
        <f>REGISTRO_B.DATOS!A496</f>
        <v>0</v>
      </c>
      <c r="B495" s="41">
        <f>REGISTRO_B.DATOS!B496</f>
        <v>0</v>
      </c>
      <c r="C495" s="41">
        <f>REGISTRO_B.DATOS!C496</f>
        <v>0</v>
      </c>
      <c r="D495" s="41">
        <f>REGISTRO_B.DATOS!D496</f>
        <v>0</v>
      </c>
      <c r="E495" s="42">
        <f>REGISTRO_B.DATOS!E496</f>
        <v>0</v>
      </c>
      <c r="F495" s="41">
        <f>REGISTRO_B.DATOS!F496</f>
        <v>0</v>
      </c>
      <c r="G495" s="41">
        <f>REGISTRO_B.DATOS!G496</f>
        <v>0</v>
      </c>
      <c r="H495" s="41">
        <f>REGISTRO_B.DATOS!H496</f>
        <v>0</v>
      </c>
      <c r="I495" s="41">
        <f>REGISTRO_B.DATOS!I496</f>
        <v>0</v>
      </c>
      <c r="J495" s="41">
        <f>REGISTRO_B.DATOS!J496</f>
        <v>0</v>
      </c>
      <c r="K495" s="43">
        <f>REGISTRO_B.DATOS!K496</f>
        <v>0</v>
      </c>
    </row>
    <row r="496" spans="1:11" x14ac:dyDescent="0.25">
      <c r="A496" s="40">
        <f>REGISTRO_B.DATOS!A497</f>
        <v>0</v>
      </c>
      <c r="B496" s="41">
        <f>REGISTRO_B.DATOS!B497</f>
        <v>0</v>
      </c>
      <c r="C496" s="41">
        <f>REGISTRO_B.DATOS!C497</f>
        <v>0</v>
      </c>
      <c r="D496" s="41">
        <f>REGISTRO_B.DATOS!D497</f>
        <v>0</v>
      </c>
      <c r="E496" s="42">
        <f>REGISTRO_B.DATOS!E497</f>
        <v>0</v>
      </c>
      <c r="F496" s="41">
        <f>REGISTRO_B.DATOS!F497</f>
        <v>0</v>
      </c>
      <c r="G496" s="41">
        <f>REGISTRO_B.DATOS!G497</f>
        <v>0</v>
      </c>
      <c r="H496" s="41">
        <f>REGISTRO_B.DATOS!H497</f>
        <v>0</v>
      </c>
      <c r="I496" s="41">
        <f>REGISTRO_B.DATOS!I497</f>
        <v>0</v>
      </c>
      <c r="J496" s="41">
        <f>REGISTRO_B.DATOS!J497</f>
        <v>0</v>
      </c>
      <c r="K496" s="43">
        <f>REGISTRO_B.DATOS!K497</f>
        <v>0</v>
      </c>
    </row>
    <row r="497" spans="1:11" x14ac:dyDescent="0.25">
      <c r="A497" s="40">
        <f>REGISTRO_B.DATOS!A498</f>
        <v>0</v>
      </c>
      <c r="B497" s="41">
        <f>REGISTRO_B.DATOS!B498</f>
        <v>0</v>
      </c>
      <c r="C497" s="41">
        <f>REGISTRO_B.DATOS!C498</f>
        <v>0</v>
      </c>
      <c r="D497" s="41">
        <f>REGISTRO_B.DATOS!D498</f>
        <v>0</v>
      </c>
      <c r="E497" s="42">
        <f>REGISTRO_B.DATOS!E498</f>
        <v>0</v>
      </c>
      <c r="F497" s="41">
        <f>REGISTRO_B.DATOS!F498</f>
        <v>0</v>
      </c>
      <c r="G497" s="41">
        <f>REGISTRO_B.DATOS!G498</f>
        <v>0</v>
      </c>
      <c r="H497" s="41">
        <f>REGISTRO_B.DATOS!H498</f>
        <v>0</v>
      </c>
      <c r="I497" s="41">
        <f>REGISTRO_B.DATOS!I498</f>
        <v>0</v>
      </c>
      <c r="J497" s="41">
        <f>REGISTRO_B.DATOS!J498</f>
        <v>0</v>
      </c>
      <c r="K497" s="43">
        <f>REGISTRO_B.DATOS!K498</f>
        <v>0</v>
      </c>
    </row>
    <row r="498" spans="1:11" x14ac:dyDescent="0.25">
      <c r="A498" s="40">
        <f>REGISTRO_B.DATOS!A499</f>
        <v>0</v>
      </c>
      <c r="B498" s="41">
        <f>REGISTRO_B.DATOS!B499</f>
        <v>0</v>
      </c>
      <c r="C498" s="41">
        <f>REGISTRO_B.DATOS!C499</f>
        <v>0</v>
      </c>
      <c r="D498" s="41">
        <f>REGISTRO_B.DATOS!D499</f>
        <v>0</v>
      </c>
      <c r="E498" s="42">
        <f>REGISTRO_B.DATOS!E499</f>
        <v>0</v>
      </c>
      <c r="F498" s="41">
        <f>REGISTRO_B.DATOS!F499</f>
        <v>0</v>
      </c>
      <c r="G498" s="41">
        <f>REGISTRO_B.DATOS!G499</f>
        <v>0</v>
      </c>
      <c r="H498" s="41">
        <f>REGISTRO_B.DATOS!H499</f>
        <v>0</v>
      </c>
      <c r="I498" s="41">
        <f>REGISTRO_B.DATOS!I499</f>
        <v>0</v>
      </c>
      <c r="J498" s="41">
        <f>REGISTRO_B.DATOS!J499</f>
        <v>0</v>
      </c>
      <c r="K498" s="43">
        <f>REGISTRO_B.DATOS!K499</f>
        <v>0</v>
      </c>
    </row>
    <row r="499" spans="1:11" x14ac:dyDescent="0.25">
      <c r="A499" s="40">
        <f>REGISTRO_B.DATOS!A500</f>
        <v>0</v>
      </c>
      <c r="B499" s="41">
        <f>REGISTRO_B.DATOS!B500</f>
        <v>0</v>
      </c>
      <c r="C499" s="41">
        <f>REGISTRO_B.DATOS!C500</f>
        <v>0</v>
      </c>
      <c r="D499" s="41">
        <f>REGISTRO_B.DATOS!D500</f>
        <v>0</v>
      </c>
      <c r="E499" s="42">
        <f>REGISTRO_B.DATOS!E500</f>
        <v>0</v>
      </c>
      <c r="F499" s="41">
        <f>REGISTRO_B.DATOS!F500</f>
        <v>0</v>
      </c>
      <c r="G499" s="41">
        <f>REGISTRO_B.DATOS!G500</f>
        <v>0</v>
      </c>
      <c r="H499" s="41">
        <f>REGISTRO_B.DATOS!H500</f>
        <v>0</v>
      </c>
      <c r="I499" s="41">
        <f>REGISTRO_B.DATOS!I500</f>
        <v>0</v>
      </c>
      <c r="J499" s="41">
        <f>REGISTRO_B.DATOS!J500</f>
        <v>0</v>
      </c>
      <c r="K499" s="43">
        <f>REGISTRO_B.DATOS!K500</f>
        <v>0</v>
      </c>
    </row>
    <row r="500" spans="1:11" x14ac:dyDescent="0.25">
      <c r="A500" s="40">
        <f>REGISTRO_B.DATOS!A501</f>
        <v>0</v>
      </c>
      <c r="B500" s="41">
        <f>REGISTRO_B.DATOS!B501</f>
        <v>0</v>
      </c>
      <c r="C500" s="41">
        <f>REGISTRO_B.DATOS!C501</f>
        <v>0</v>
      </c>
      <c r="D500" s="41">
        <f>REGISTRO_B.DATOS!D501</f>
        <v>0</v>
      </c>
      <c r="E500" s="42">
        <f>REGISTRO_B.DATOS!E501</f>
        <v>0</v>
      </c>
      <c r="F500" s="41">
        <f>REGISTRO_B.DATOS!F501</f>
        <v>0</v>
      </c>
      <c r="G500" s="41">
        <f>REGISTRO_B.DATOS!G501</f>
        <v>0</v>
      </c>
      <c r="H500" s="41">
        <f>REGISTRO_B.DATOS!H501</f>
        <v>0</v>
      </c>
      <c r="I500" s="41">
        <f>REGISTRO_B.DATOS!I501</f>
        <v>0</v>
      </c>
      <c r="J500" s="41">
        <f>REGISTRO_B.DATOS!J501</f>
        <v>0</v>
      </c>
      <c r="K500" s="43">
        <f>REGISTRO_B.DATOS!K501</f>
        <v>0</v>
      </c>
    </row>
    <row r="501" spans="1:11" x14ac:dyDescent="0.25">
      <c r="A501" s="40">
        <f>REGISTRO_B.DATOS!A502</f>
        <v>0</v>
      </c>
      <c r="B501" s="41">
        <f>REGISTRO_B.DATOS!B502</f>
        <v>0</v>
      </c>
      <c r="C501" s="41">
        <f>REGISTRO_B.DATOS!C502</f>
        <v>0</v>
      </c>
      <c r="D501" s="41">
        <f>REGISTRO_B.DATOS!D502</f>
        <v>0</v>
      </c>
      <c r="E501" s="42">
        <f>REGISTRO_B.DATOS!E502</f>
        <v>0</v>
      </c>
      <c r="F501" s="41">
        <f>REGISTRO_B.DATOS!F502</f>
        <v>0</v>
      </c>
      <c r="G501" s="41">
        <f>REGISTRO_B.DATOS!G502</f>
        <v>0</v>
      </c>
      <c r="H501" s="41">
        <f>REGISTRO_B.DATOS!H502</f>
        <v>0</v>
      </c>
      <c r="I501" s="41">
        <f>REGISTRO_B.DATOS!I502</f>
        <v>0</v>
      </c>
      <c r="J501" s="41">
        <f>REGISTRO_B.DATOS!J502</f>
        <v>0</v>
      </c>
      <c r="K501" s="43">
        <f>REGISTRO_B.DATOS!K502</f>
        <v>0</v>
      </c>
    </row>
    <row r="502" spans="1:11" x14ac:dyDescent="0.25">
      <c r="A502" s="40">
        <f>REGISTRO_B.DATOS!A503</f>
        <v>0</v>
      </c>
      <c r="B502" s="41">
        <f>REGISTRO_B.DATOS!B503</f>
        <v>0</v>
      </c>
      <c r="C502" s="41">
        <f>REGISTRO_B.DATOS!C503</f>
        <v>0</v>
      </c>
      <c r="D502" s="41">
        <f>REGISTRO_B.DATOS!D503</f>
        <v>0</v>
      </c>
      <c r="E502" s="42">
        <f>REGISTRO_B.DATOS!E503</f>
        <v>0</v>
      </c>
      <c r="F502" s="41">
        <f>REGISTRO_B.DATOS!F503</f>
        <v>0</v>
      </c>
      <c r="G502" s="41">
        <f>REGISTRO_B.DATOS!G503</f>
        <v>0</v>
      </c>
      <c r="H502" s="41">
        <f>REGISTRO_B.DATOS!H503</f>
        <v>0</v>
      </c>
      <c r="I502" s="41">
        <f>REGISTRO_B.DATOS!I503</f>
        <v>0</v>
      </c>
      <c r="J502" s="41">
        <f>REGISTRO_B.DATOS!J503</f>
        <v>0</v>
      </c>
      <c r="K502" s="43">
        <f>REGISTRO_B.DATOS!K503</f>
        <v>0</v>
      </c>
    </row>
    <row r="503" spans="1:11" x14ac:dyDescent="0.25">
      <c r="A503" s="40">
        <f>REGISTRO_B.DATOS!A504</f>
        <v>0</v>
      </c>
      <c r="B503" s="41">
        <f>REGISTRO_B.DATOS!B504</f>
        <v>0</v>
      </c>
      <c r="C503" s="41">
        <f>REGISTRO_B.DATOS!C504</f>
        <v>0</v>
      </c>
      <c r="D503" s="41">
        <f>REGISTRO_B.DATOS!D504</f>
        <v>0</v>
      </c>
      <c r="E503" s="42">
        <f>REGISTRO_B.DATOS!E504</f>
        <v>0</v>
      </c>
      <c r="F503" s="41">
        <f>REGISTRO_B.DATOS!F504</f>
        <v>0</v>
      </c>
      <c r="G503" s="41">
        <f>REGISTRO_B.DATOS!G504</f>
        <v>0</v>
      </c>
      <c r="H503" s="41">
        <f>REGISTRO_B.DATOS!H504</f>
        <v>0</v>
      </c>
      <c r="I503" s="41">
        <f>REGISTRO_B.DATOS!I504</f>
        <v>0</v>
      </c>
      <c r="J503" s="41">
        <f>REGISTRO_B.DATOS!J504</f>
        <v>0</v>
      </c>
      <c r="K503" s="43">
        <f>REGISTRO_B.DATOS!K504</f>
        <v>0</v>
      </c>
    </row>
    <row r="504" spans="1:11" x14ac:dyDescent="0.25">
      <c r="A504" s="40">
        <f>REGISTRO_B.DATOS!A505</f>
        <v>0</v>
      </c>
      <c r="B504" s="41">
        <f>REGISTRO_B.DATOS!B505</f>
        <v>0</v>
      </c>
      <c r="C504" s="41">
        <f>REGISTRO_B.DATOS!C505</f>
        <v>0</v>
      </c>
      <c r="D504" s="41">
        <f>REGISTRO_B.DATOS!D505</f>
        <v>0</v>
      </c>
      <c r="E504" s="42">
        <f>REGISTRO_B.DATOS!E505</f>
        <v>0</v>
      </c>
      <c r="F504" s="41">
        <f>REGISTRO_B.DATOS!F505</f>
        <v>0</v>
      </c>
      <c r="G504" s="41">
        <f>REGISTRO_B.DATOS!G505</f>
        <v>0</v>
      </c>
      <c r="H504" s="41">
        <f>REGISTRO_B.DATOS!H505</f>
        <v>0</v>
      </c>
      <c r="I504" s="41">
        <f>REGISTRO_B.DATOS!I505</f>
        <v>0</v>
      </c>
      <c r="J504" s="41">
        <f>REGISTRO_B.DATOS!J505</f>
        <v>0</v>
      </c>
      <c r="K504" s="43">
        <f>REGISTRO_B.DATOS!K505</f>
        <v>0</v>
      </c>
    </row>
    <row r="505" spans="1:11" x14ac:dyDescent="0.25">
      <c r="A505" s="40">
        <f>REGISTRO_B.DATOS!A506</f>
        <v>0</v>
      </c>
      <c r="B505" s="41">
        <f>REGISTRO_B.DATOS!B506</f>
        <v>0</v>
      </c>
      <c r="C505" s="41">
        <f>REGISTRO_B.DATOS!C506</f>
        <v>0</v>
      </c>
      <c r="D505" s="41">
        <f>REGISTRO_B.DATOS!D506</f>
        <v>0</v>
      </c>
      <c r="E505" s="42">
        <f>REGISTRO_B.DATOS!E506</f>
        <v>0</v>
      </c>
      <c r="F505" s="41">
        <f>REGISTRO_B.DATOS!F506</f>
        <v>0</v>
      </c>
      <c r="G505" s="41">
        <f>REGISTRO_B.DATOS!G506</f>
        <v>0</v>
      </c>
      <c r="H505" s="41">
        <f>REGISTRO_B.DATOS!H506</f>
        <v>0</v>
      </c>
      <c r="I505" s="41">
        <f>REGISTRO_B.DATOS!I506</f>
        <v>0</v>
      </c>
      <c r="J505" s="41">
        <f>REGISTRO_B.DATOS!J506</f>
        <v>0</v>
      </c>
      <c r="K505" s="43">
        <f>REGISTRO_B.DATOS!K506</f>
        <v>0</v>
      </c>
    </row>
    <row r="506" spans="1:11" x14ac:dyDescent="0.25">
      <c r="A506" s="40">
        <f>REGISTRO_B.DATOS!A507</f>
        <v>0</v>
      </c>
      <c r="B506" s="41">
        <f>REGISTRO_B.DATOS!B507</f>
        <v>0</v>
      </c>
      <c r="C506" s="41">
        <f>REGISTRO_B.DATOS!C507</f>
        <v>0</v>
      </c>
      <c r="D506" s="41">
        <f>REGISTRO_B.DATOS!D507</f>
        <v>0</v>
      </c>
      <c r="E506" s="42">
        <f>REGISTRO_B.DATOS!E507</f>
        <v>0</v>
      </c>
      <c r="F506" s="41">
        <f>REGISTRO_B.DATOS!F507</f>
        <v>0</v>
      </c>
      <c r="G506" s="41">
        <f>REGISTRO_B.DATOS!G507</f>
        <v>0</v>
      </c>
      <c r="H506" s="41">
        <f>REGISTRO_B.DATOS!H507</f>
        <v>0</v>
      </c>
      <c r="I506" s="41">
        <f>REGISTRO_B.DATOS!I507</f>
        <v>0</v>
      </c>
      <c r="J506" s="41">
        <f>REGISTRO_B.DATOS!J507</f>
        <v>0</v>
      </c>
      <c r="K506" s="43">
        <f>REGISTRO_B.DATOS!K507</f>
        <v>0</v>
      </c>
    </row>
    <row r="507" spans="1:11" x14ac:dyDescent="0.25">
      <c r="A507" s="40">
        <f>REGISTRO_B.DATOS!A508</f>
        <v>0</v>
      </c>
      <c r="B507" s="41">
        <f>REGISTRO_B.DATOS!B508</f>
        <v>0</v>
      </c>
      <c r="C507" s="41">
        <f>REGISTRO_B.DATOS!C508</f>
        <v>0</v>
      </c>
      <c r="D507" s="41">
        <f>REGISTRO_B.DATOS!D508</f>
        <v>0</v>
      </c>
      <c r="E507" s="42">
        <f>REGISTRO_B.DATOS!E508</f>
        <v>0</v>
      </c>
      <c r="F507" s="41">
        <f>REGISTRO_B.DATOS!F508</f>
        <v>0</v>
      </c>
      <c r="G507" s="41">
        <f>REGISTRO_B.DATOS!G508</f>
        <v>0</v>
      </c>
      <c r="H507" s="41">
        <f>REGISTRO_B.DATOS!H508</f>
        <v>0</v>
      </c>
      <c r="I507" s="41">
        <f>REGISTRO_B.DATOS!I508</f>
        <v>0</v>
      </c>
      <c r="J507" s="41">
        <f>REGISTRO_B.DATOS!J508</f>
        <v>0</v>
      </c>
      <c r="K507" s="43">
        <f>REGISTRO_B.DATOS!K508</f>
        <v>0</v>
      </c>
    </row>
    <row r="508" spans="1:11" x14ac:dyDescent="0.25">
      <c r="A508" s="40">
        <f>REGISTRO_B.DATOS!A509</f>
        <v>0</v>
      </c>
      <c r="B508" s="41">
        <f>REGISTRO_B.DATOS!B509</f>
        <v>0</v>
      </c>
      <c r="C508" s="41">
        <f>REGISTRO_B.DATOS!C509</f>
        <v>0</v>
      </c>
      <c r="D508" s="41">
        <f>REGISTRO_B.DATOS!D509</f>
        <v>0</v>
      </c>
      <c r="E508" s="42">
        <f>REGISTRO_B.DATOS!E509</f>
        <v>0</v>
      </c>
      <c r="F508" s="41">
        <f>REGISTRO_B.DATOS!F509</f>
        <v>0</v>
      </c>
      <c r="G508" s="41">
        <f>REGISTRO_B.DATOS!G509</f>
        <v>0</v>
      </c>
      <c r="H508" s="41">
        <f>REGISTRO_B.DATOS!H509</f>
        <v>0</v>
      </c>
      <c r="I508" s="41">
        <f>REGISTRO_B.DATOS!I509</f>
        <v>0</v>
      </c>
      <c r="J508" s="41">
        <f>REGISTRO_B.DATOS!J509</f>
        <v>0</v>
      </c>
      <c r="K508" s="43">
        <f>REGISTRO_B.DATOS!K509</f>
        <v>0</v>
      </c>
    </row>
    <row r="509" spans="1:11" x14ac:dyDescent="0.25">
      <c r="A509" s="40">
        <f>REGISTRO_B.DATOS!A510</f>
        <v>0</v>
      </c>
      <c r="B509" s="41">
        <f>REGISTRO_B.DATOS!B510</f>
        <v>0</v>
      </c>
      <c r="C509" s="41">
        <f>REGISTRO_B.DATOS!C510</f>
        <v>0</v>
      </c>
      <c r="D509" s="41">
        <f>REGISTRO_B.DATOS!D510</f>
        <v>0</v>
      </c>
      <c r="E509" s="42">
        <f>REGISTRO_B.DATOS!E510</f>
        <v>0</v>
      </c>
      <c r="F509" s="41">
        <f>REGISTRO_B.DATOS!F510</f>
        <v>0</v>
      </c>
      <c r="G509" s="41">
        <f>REGISTRO_B.DATOS!G510</f>
        <v>0</v>
      </c>
      <c r="H509" s="41">
        <f>REGISTRO_B.DATOS!H510</f>
        <v>0</v>
      </c>
      <c r="I509" s="41">
        <f>REGISTRO_B.DATOS!I510</f>
        <v>0</v>
      </c>
      <c r="J509" s="41">
        <f>REGISTRO_B.DATOS!J510</f>
        <v>0</v>
      </c>
      <c r="K509" s="43">
        <f>REGISTRO_B.DATOS!K510</f>
        <v>0</v>
      </c>
    </row>
    <row r="510" spans="1:11" x14ac:dyDescent="0.25">
      <c r="A510" s="40">
        <f>REGISTRO_B.DATOS!A511</f>
        <v>0</v>
      </c>
      <c r="B510" s="41">
        <f>REGISTRO_B.DATOS!B511</f>
        <v>0</v>
      </c>
      <c r="C510" s="41">
        <f>REGISTRO_B.DATOS!C511</f>
        <v>0</v>
      </c>
      <c r="D510" s="41">
        <f>REGISTRO_B.DATOS!D511</f>
        <v>0</v>
      </c>
      <c r="E510" s="42">
        <f>REGISTRO_B.DATOS!E511</f>
        <v>0</v>
      </c>
      <c r="F510" s="41">
        <f>REGISTRO_B.DATOS!F511</f>
        <v>0</v>
      </c>
      <c r="G510" s="41">
        <f>REGISTRO_B.DATOS!G511</f>
        <v>0</v>
      </c>
      <c r="H510" s="41">
        <f>REGISTRO_B.DATOS!H511</f>
        <v>0</v>
      </c>
      <c r="I510" s="41">
        <f>REGISTRO_B.DATOS!I511</f>
        <v>0</v>
      </c>
      <c r="J510" s="41">
        <f>REGISTRO_B.DATOS!J511</f>
        <v>0</v>
      </c>
      <c r="K510" s="43">
        <f>REGISTRO_B.DATOS!K511</f>
        <v>0</v>
      </c>
    </row>
    <row r="511" spans="1:11" x14ac:dyDescent="0.25">
      <c r="A511" s="40">
        <f>REGISTRO_B.DATOS!A512</f>
        <v>0</v>
      </c>
      <c r="B511" s="41">
        <f>REGISTRO_B.DATOS!B512</f>
        <v>0</v>
      </c>
      <c r="C511" s="41">
        <f>REGISTRO_B.DATOS!C512</f>
        <v>0</v>
      </c>
      <c r="D511" s="41">
        <f>REGISTRO_B.DATOS!D512</f>
        <v>0</v>
      </c>
      <c r="E511" s="42">
        <f>REGISTRO_B.DATOS!E512</f>
        <v>0</v>
      </c>
      <c r="F511" s="41">
        <f>REGISTRO_B.DATOS!F512</f>
        <v>0</v>
      </c>
      <c r="G511" s="41">
        <f>REGISTRO_B.DATOS!G512</f>
        <v>0</v>
      </c>
      <c r="H511" s="41">
        <f>REGISTRO_B.DATOS!H512</f>
        <v>0</v>
      </c>
      <c r="I511" s="41">
        <f>REGISTRO_B.DATOS!I512</f>
        <v>0</v>
      </c>
      <c r="J511" s="41">
        <f>REGISTRO_B.DATOS!J512</f>
        <v>0</v>
      </c>
      <c r="K511" s="43">
        <f>REGISTRO_B.DATOS!K512</f>
        <v>0</v>
      </c>
    </row>
    <row r="512" spans="1:11" x14ac:dyDescent="0.25">
      <c r="A512" s="40">
        <f>REGISTRO_B.DATOS!A513</f>
        <v>0</v>
      </c>
      <c r="B512" s="41">
        <f>REGISTRO_B.DATOS!B513</f>
        <v>0</v>
      </c>
      <c r="C512" s="41">
        <f>REGISTRO_B.DATOS!C513</f>
        <v>0</v>
      </c>
      <c r="D512" s="41">
        <f>REGISTRO_B.DATOS!D513</f>
        <v>0</v>
      </c>
      <c r="E512" s="42">
        <f>REGISTRO_B.DATOS!E513</f>
        <v>0</v>
      </c>
      <c r="F512" s="41">
        <f>REGISTRO_B.DATOS!F513</f>
        <v>0</v>
      </c>
      <c r="G512" s="41">
        <f>REGISTRO_B.DATOS!G513</f>
        <v>0</v>
      </c>
      <c r="H512" s="41">
        <f>REGISTRO_B.DATOS!H513</f>
        <v>0</v>
      </c>
      <c r="I512" s="41">
        <f>REGISTRO_B.DATOS!I513</f>
        <v>0</v>
      </c>
      <c r="J512" s="41">
        <f>REGISTRO_B.DATOS!J513</f>
        <v>0</v>
      </c>
      <c r="K512" s="43">
        <f>REGISTRO_B.DATOS!K513</f>
        <v>0</v>
      </c>
    </row>
    <row r="513" spans="1:11" x14ac:dyDescent="0.25">
      <c r="A513" s="40">
        <f>REGISTRO_B.DATOS!A514</f>
        <v>0</v>
      </c>
      <c r="B513" s="41">
        <f>REGISTRO_B.DATOS!B514</f>
        <v>0</v>
      </c>
      <c r="C513" s="41">
        <f>REGISTRO_B.DATOS!C514</f>
        <v>0</v>
      </c>
      <c r="D513" s="41">
        <f>REGISTRO_B.DATOS!D514</f>
        <v>0</v>
      </c>
      <c r="E513" s="42">
        <f>REGISTRO_B.DATOS!E514</f>
        <v>0</v>
      </c>
      <c r="F513" s="41">
        <f>REGISTRO_B.DATOS!F514</f>
        <v>0</v>
      </c>
      <c r="G513" s="41">
        <f>REGISTRO_B.DATOS!G514</f>
        <v>0</v>
      </c>
      <c r="H513" s="41">
        <f>REGISTRO_B.DATOS!H514</f>
        <v>0</v>
      </c>
      <c r="I513" s="41">
        <f>REGISTRO_B.DATOS!I514</f>
        <v>0</v>
      </c>
      <c r="J513" s="41">
        <f>REGISTRO_B.DATOS!J514</f>
        <v>0</v>
      </c>
      <c r="K513" s="43">
        <f>REGISTRO_B.DATOS!K514</f>
        <v>0</v>
      </c>
    </row>
    <row r="514" spans="1:11" x14ac:dyDescent="0.25">
      <c r="A514" s="40">
        <f>REGISTRO_B.DATOS!A515</f>
        <v>0</v>
      </c>
      <c r="B514" s="41">
        <f>REGISTRO_B.DATOS!B515</f>
        <v>0</v>
      </c>
      <c r="C514" s="41">
        <f>REGISTRO_B.DATOS!C515</f>
        <v>0</v>
      </c>
      <c r="D514" s="41">
        <f>REGISTRO_B.DATOS!D515</f>
        <v>0</v>
      </c>
      <c r="E514" s="42">
        <f>REGISTRO_B.DATOS!E515</f>
        <v>0</v>
      </c>
      <c r="F514" s="41">
        <f>REGISTRO_B.DATOS!F515</f>
        <v>0</v>
      </c>
      <c r="G514" s="41">
        <f>REGISTRO_B.DATOS!G515</f>
        <v>0</v>
      </c>
      <c r="H514" s="41">
        <f>REGISTRO_B.DATOS!H515</f>
        <v>0</v>
      </c>
      <c r="I514" s="41">
        <f>REGISTRO_B.DATOS!I515</f>
        <v>0</v>
      </c>
      <c r="J514" s="41">
        <f>REGISTRO_B.DATOS!J515</f>
        <v>0</v>
      </c>
      <c r="K514" s="43">
        <f>REGISTRO_B.DATOS!K515</f>
        <v>0</v>
      </c>
    </row>
    <row r="515" spans="1:11" x14ac:dyDescent="0.25">
      <c r="A515" s="40">
        <f>REGISTRO_B.DATOS!A516</f>
        <v>0</v>
      </c>
      <c r="B515" s="41">
        <f>REGISTRO_B.DATOS!B516</f>
        <v>0</v>
      </c>
      <c r="C515" s="41">
        <f>REGISTRO_B.DATOS!C516</f>
        <v>0</v>
      </c>
      <c r="D515" s="41">
        <f>REGISTRO_B.DATOS!D516</f>
        <v>0</v>
      </c>
      <c r="E515" s="42">
        <f>REGISTRO_B.DATOS!E516</f>
        <v>0</v>
      </c>
      <c r="F515" s="41">
        <f>REGISTRO_B.DATOS!F516</f>
        <v>0</v>
      </c>
      <c r="G515" s="41">
        <f>REGISTRO_B.DATOS!G516</f>
        <v>0</v>
      </c>
      <c r="H515" s="41">
        <f>REGISTRO_B.DATOS!H516</f>
        <v>0</v>
      </c>
      <c r="I515" s="41">
        <f>REGISTRO_B.DATOS!I516</f>
        <v>0</v>
      </c>
      <c r="J515" s="41">
        <f>REGISTRO_B.DATOS!J516</f>
        <v>0</v>
      </c>
      <c r="K515" s="43">
        <f>REGISTRO_B.DATOS!K516</f>
        <v>0</v>
      </c>
    </row>
    <row r="516" spans="1:11" x14ac:dyDescent="0.25">
      <c r="A516" s="40">
        <f>REGISTRO_B.DATOS!A517</f>
        <v>0</v>
      </c>
      <c r="B516" s="41">
        <f>REGISTRO_B.DATOS!B517</f>
        <v>0</v>
      </c>
      <c r="C516" s="41">
        <f>REGISTRO_B.DATOS!C517</f>
        <v>0</v>
      </c>
      <c r="D516" s="41">
        <f>REGISTRO_B.DATOS!D517</f>
        <v>0</v>
      </c>
      <c r="E516" s="42">
        <f>REGISTRO_B.DATOS!E517</f>
        <v>0</v>
      </c>
      <c r="F516" s="41">
        <f>REGISTRO_B.DATOS!F517</f>
        <v>0</v>
      </c>
      <c r="G516" s="41">
        <f>REGISTRO_B.DATOS!G517</f>
        <v>0</v>
      </c>
      <c r="H516" s="41">
        <f>REGISTRO_B.DATOS!H517</f>
        <v>0</v>
      </c>
      <c r="I516" s="41">
        <f>REGISTRO_B.DATOS!I517</f>
        <v>0</v>
      </c>
      <c r="J516" s="41">
        <f>REGISTRO_B.DATOS!J517</f>
        <v>0</v>
      </c>
      <c r="K516" s="43">
        <f>REGISTRO_B.DATOS!K517</f>
        <v>0</v>
      </c>
    </row>
    <row r="517" spans="1:11" x14ac:dyDescent="0.25">
      <c r="A517" s="40">
        <f>REGISTRO_B.DATOS!A518</f>
        <v>0</v>
      </c>
      <c r="B517" s="41">
        <f>REGISTRO_B.DATOS!B518</f>
        <v>0</v>
      </c>
      <c r="C517" s="41">
        <f>REGISTRO_B.DATOS!C518</f>
        <v>0</v>
      </c>
      <c r="D517" s="41">
        <f>REGISTRO_B.DATOS!D518</f>
        <v>0</v>
      </c>
      <c r="E517" s="42">
        <f>REGISTRO_B.DATOS!E518</f>
        <v>0</v>
      </c>
      <c r="F517" s="41">
        <f>REGISTRO_B.DATOS!F518</f>
        <v>0</v>
      </c>
      <c r="G517" s="41">
        <f>REGISTRO_B.DATOS!G518</f>
        <v>0</v>
      </c>
      <c r="H517" s="41">
        <f>REGISTRO_B.DATOS!H518</f>
        <v>0</v>
      </c>
      <c r="I517" s="41">
        <f>REGISTRO_B.DATOS!I518</f>
        <v>0</v>
      </c>
      <c r="J517" s="41">
        <f>REGISTRO_B.DATOS!J518</f>
        <v>0</v>
      </c>
      <c r="K517" s="43">
        <f>REGISTRO_B.DATOS!K518</f>
        <v>0</v>
      </c>
    </row>
    <row r="518" spans="1:11" x14ac:dyDescent="0.25">
      <c r="A518" s="40">
        <f>REGISTRO_B.DATOS!A519</f>
        <v>0</v>
      </c>
      <c r="B518" s="41">
        <f>REGISTRO_B.DATOS!B519</f>
        <v>0</v>
      </c>
      <c r="C518" s="41">
        <f>REGISTRO_B.DATOS!C519</f>
        <v>0</v>
      </c>
      <c r="D518" s="41">
        <f>REGISTRO_B.DATOS!D519</f>
        <v>0</v>
      </c>
      <c r="E518" s="42">
        <f>REGISTRO_B.DATOS!E519</f>
        <v>0</v>
      </c>
      <c r="F518" s="41">
        <f>REGISTRO_B.DATOS!F519</f>
        <v>0</v>
      </c>
      <c r="G518" s="41">
        <f>REGISTRO_B.DATOS!G519</f>
        <v>0</v>
      </c>
      <c r="H518" s="41">
        <f>REGISTRO_B.DATOS!H519</f>
        <v>0</v>
      </c>
      <c r="I518" s="41">
        <f>REGISTRO_B.DATOS!I519</f>
        <v>0</v>
      </c>
      <c r="J518" s="41">
        <f>REGISTRO_B.DATOS!J519</f>
        <v>0</v>
      </c>
      <c r="K518" s="43">
        <f>REGISTRO_B.DATOS!K519</f>
        <v>0</v>
      </c>
    </row>
    <row r="519" spans="1:11" x14ac:dyDescent="0.25">
      <c r="A519" s="40">
        <f>REGISTRO_B.DATOS!A520</f>
        <v>0</v>
      </c>
      <c r="B519" s="41">
        <f>REGISTRO_B.DATOS!B520</f>
        <v>0</v>
      </c>
      <c r="C519" s="41">
        <f>REGISTRO_B.DATOS!C520</f>
        <v>0</v>
      </c>
      <c r="D519" s="41">
        <f>REGISTRO_B.DATOS!D520</f>
        <v>0</v>
      </c>
      <c r="E519" s="42">
        <f>REGISTRO_B.DATOS!E520</f>
        <v>0</v>
      </c>
      <c r="F519" s="41">
        <f>REGISTRO_B.DATOS!F520</f>
        <v>0</v>
      </c>
      <c r="G519" s="41">
        <f>REGISTRO_B.DATOS!G520</f>
        <v>0</v>
      </c>
      <c r="H519" s="41">
        <f>REGISTRO_B.DATOS!H520</f>
        <v>0</v>
      </c>
      <c r="I519" s="41">
        <f>REGISTRO_B.DATOS!I520</f>
        <v>0</v>
      </c>
      <c r="J519" s="41">
        <f>REGISTRO_B.DATOS!J520</f>
        <v>0</v>
      </c>
      <c r="K519" s="43">
        <f>REGISTRO_B.DATOS!K520</f>
        <v>0</v>
      </c>
    </row>
    <row r="520" spans="1:11" x14ac:dyDescent="0.25">
      <c r="A520" s="40">
        <f>REGISTRO_B.DATOS!A521</f>
        <v>0</v>
      </c>
      <c r="B520" s="41">
        <f>REGISTRO_B.DATOS!B521</f>
        <v>0</v>
      </c>
      <c r="C520" s="41">
        <f>REGISTRO_B.DATOS!C521</f>
        <v>0</v>
      </c>
      <c r="D520" s="41">
        <f>REGISTRO_B.DATOS!D521</f>
        <v>0</v>
      </c>
      <c r="E520" s="42">
        <f>REGISTRO_B.DATOS!E521</f>
        <v>0</v>
      </c>
      <c r="F520" s="41">
        <f>REGISTRO_B.DATOS!F521</f>
        <v>0</v>
      </c>
      <c r="G520" s="41">
        <f>REGISTRO_B.DATOS!G521</f>
        <v>0</v>
      </c>
      <c r="H520" s="41">
        <f>REGISTRO_B.DATOS!H521</f>
        <v>0</v>
      </c>
      <c r="I520" s="41">
        <f>REGISTRO_B.DATOS!I521</f>
        <v>0</v>
      </c>
      <c r="J520" s="41">
        <f>REGISTRO_B.DATOS!J521</f>
        <v>0</v>
      </c>
      <c r="K520" s="43">
        <f>REGISTRO_B.DATOS!K521</f>
        <v>0</v>
      </c>
    </row>
    <row r="521" spans="1:11" x14ac:dyDescent="0.25">
      <c r="A521" s="40">
        <f>REGISTRO_B.DATOS!A522</f>
        <v>0</v>
      </c>
      <c r="B521" s="41">
        <f>REGISTRO_B.DATOS!B522</f>
        <v>0</v>
      </c>
      <c r="C521" s="41">
        <f>REGISTRO_B.DATOS!C522</f>
        <v>0</v>
      </c>
      <c r="D521" s="41">
        <f>REGISTRO_B.DATOS!D522</f>
        <v>0</v>
      </c>
      <c r="E521" s="42">
        <f>REGISTRO_B.DATOS!E522</f>
        <v>0</v>
      </c>
      <c r="F521" s="41">
        <f>REGISTRO_B.DATOS!F522</f>
        <v>0</v>
      </c>
      <c r="G521" s="41">
        <f>REGISTRO_B.DATOS!G522</f>
        <v>0</v>
      </c>
      <c r="H521" s="41">
        <f>REGISTRO_B.DATOS!H522</f>
        <v>0</v>
      </c>
      <c r="I521" s="41">
        <f>REGISTRO_B.DATOS!I522</f>
        <v>0</v>
      </c>
      <c r="J521" s="41">
        <f>REGISTRO_B.DATOS!J522</f>
        <v>0</v>
      </c>
      <c r="K521" s="43">
        <f>REGISTRO_B.DATOS!K522</f>
        <v>0</v>
      </c>
    </row>
    <row r="522" spans="1:11" x14ac:dyDescent="0.25">
      <c r="A522" s="40">
        <f>REGISTRO_B.DATOS!A523</f>
        <v>0</v>
      </c>
      <c r="B522" s="41">
        <f>REGISTRO_B.DATOS!B523</f>
        <v>0</v>
      </c>
      <c r="C522" s="41">
        <f>REGISTRO_B.DATOS!C523</f>
        <v>0</v>
      </c>
      <c r="D522" s="41">
        <f>REGISTRO_B.DATOS!D523</f>
        <v>0</v>
      </c>
      <c r="E522" s="42">
        <f>REGISTRO_B.DATOS!E523</f>
        <v>0</v>
      </c>
      <c r="F522" s="41">
        <f>REGISTRO_B.DATOS!F523</f>
        <v>0</v>
      </c>
      <c r="G522" s="41">
        <f>REGISTRO_B.DATOS!G523</f>
        <v>0</v>
      </c>
      <c r="H522" s="41">
        <f>REGISTRO_B.DATOS!H523</f>
        <v>0</v>
      </c>
      <c r="I522" s="41">
        <f>REGISTRO_B.DATOS!I523</f>
        <v>0</v>
      </c>
      <c r="J522" s="41">
        <f>REGISTRO_B.DATOS!J523</f>
        <v>0</v>
      </c>
      <c r="K522" s="43">
        <f>REGISTRO_B.DATOS!K523</f>
        <v>0</v>
      </c>
    </row>
    <row r="523" spans="1:11" x14ac:dyDescent="0.25">
      <c r="A523" s="40">
        <f>REGISTRO_B.DATOS!A524</f>
        <v>0</v>
      </c>
      <c r="B523" s="41">
        <f>REGISTRO_B.DATOS!B524</f>
        <v>0</v>
      </c>
      <c r="C523" s="41">
        <f>REGISTRO_B.DATOS!C524</f>
        <v>0</v>
      </c>
      <c r="D523" s="41">
        <f>REGISTRO_B.DATOS!D524</f>
        <v>0</v>
      </c>
      <c r="E523" s="42">
        <f>REGISTRO_B.DATOS!E524</f>
        <v>0</v>
      </c>
      <c r="F523" s="41">
        <f>REGISTRO_B.DATOS!F524</f>
        <v>0</v>
      </c>
      <c r="G523" s="41">
        <f>REGISTRO_B.DATOS!G524</f>
        <v>0</v>
      </c>
      <c r="H523" s="41">
        <f>REGISTRO_B.DATOS!H524</f>
        <v>0</v>
      </c>
      <c r="I523" s="41">
        <f>REGISTRO_B.DATOS!I524</f>
        <v>0</v>
      </c>
      <c r="J523" s="41">
        <f>REGISTRO_B.DATOS!J524</f>
        <v>0</v>
      </c>
      <c r="K523" s="43">
        <f>REGISTRO_B.DATOS!K524</f>
        <v>0</v>
      </c>
    </row>
    <row r="524" spans="1:11" x14ac:dyDescent="0.25">
      <c r="A524" s="40">
        <f>REGISTRO_B.DATOS!A525</f>
        <v>0</v>
      </c>
      <c r="B524" s="41">
        <f>REGISTRO_B.DATOS!B525</f>
        <v>0</v>
      </c>
      <c r="C524" s="41">
        <f>REGISTRO_B.DATOS!C525</f>
        <v>0</v>
      </c>
      <c r="D524" s="41">
        <f>REGISTRO_B.DATOS!D525</f>
        <v>0</v>
      </c>
      <c r="E524" s="42">
        <f>REGISTRO_B.DATOS!E525</f>
        <v>0</v>
      </c>
      <c r="F524" s="41">
        <f>REGISTRO_B.DATOS!F525</f>
        <v>0</v>
      </c>
      <c r="G524" s="41">
        <f>REGISTRO_B.DATOS!G525</f>
        <v>0</v>
      </c>
      <c r="H524" s="41">
        <f>REGISTRO_B.DATOS!H525</f>
        <v>0</v>
      </c>
      <c r="I524" s="41">
        <f>REGISTRO_B.DATOS!I525</f>
        <v>0</v>
      </c>
      <c r="J524" s="41">
        <f>REGISTRO_B.DATOS!J525</f>
        <v>0</v>
      </c>
      <c r="K524" s="43">
        <f>REGISTRO_B.DATOS!K525</f>
        <v>0</v>
      </c>
    </row>
    <row r="525" spans="1:11" x14ac:dyDescent="0.25">
      <c r="A525" s="40">
        <f>REGISTRO_B.DATOS!A526</f>
        <v>0</v>
      </c>
      <c r="B525" s="41">
        <f>REGISTRO_B.DATOS!B526</f>
        <v>0</v>
      </c>
      <c r="C525" s="41">
        <f>REGISTRO_B.DATOS!C526</f>
        <v>0</v>
      </c>
      <c r="D525" s="41">
        <f>REGISTRO_B.DATOS!D526</f>
        <v>0</v>
      </c>
      <c r="E525" s="42">
        <f>REGISTRO_B.DATOS!E526</f>
        <v>0</v>
      </c>
      <c r="F525" s="41">
        <f>REGISTRO_B.DATOS!F526</f>
        <v>0</v>
      </c>
      <c r="G525" s="41">
        <f>REGISTRO_B.DATOS!G526</f>
        <v>0</v>
      </c>
      <c r="H525" s="41">
        <f>REGISTRO_B.DATOS!H526</f>
        <v>0</v>
      </c>
      <c r="I525" s="41">
        <f>REGISTRO_B.DATOS!I526</f>
        <v>0</v>
      </c>
      <c r="J525" s="41">
        <f>REGISTRO_B.DATOS!J526</f>
        <v>0</v>
      </c>
      <c r="K525" s="43">
        <f>REGISTRO_B.DATOS!K526</f>
        <v>0</v>
      </c>
    </row>
    <row r="526" spans="1:11" x14ac:dyDescent="0.25">
      <c r="A526" s="40">
        <f>REGISTRO_B.DATOS!A527</f>
        <v>0</v>
      </c>
      <c r="B526" s="41">
        <f>REGISTRO_B.DATOS!B527</f>
        <v>0</v>
      </c>
      <c r="C526" s="41">
        <f>REGISTRO_B.DATOS!C527</f>
        <v>0</v>
      </c>
      <c r="D526" s="41">
        <f>REGISTRO_B.DATOS!D527</f>
        <v>0</v>
      </c>
      <c r="E526" s="42">
        <f>REGISTRO_B.DATOS!E527</f>
        <v>0</v>
      </c>
      <c r="F526" s="41">
        <f>REGISTRO_B.DATOS!F527</f>
        <v>0</v>
      </c>
      <c r="G526" s="41">
        <f>REGISTRO_B.DATOS!G527</f>
        <v>0</v>
      </c>
      <c r="H526" s="41">
        <f>REGISTRO_B.DATOS!H527</f>
        <v>0</v>
      </c>
      <c r="I526" s="41">
        <f>REGISTRO_B.DATOS!I527</f>
        <v>0</v>
      </c>
      <c r="J526" s="41">
        <f>REGISTRO_B.DATOS!J527</f>
        <v>0</v>
      </c>
      <c r="K526" s="43">
        <f>REGISTRO_B.DATOS!K527</f>
        <v>0</v>
      </c>
    </row>
    <row r="527" spans="1:11" x14ac:dyDescent="0.25">
      <c r="A527" s="40">
        <f>REGISTRO_B.DATOS!A528</f>
        <v>0</v>
      </c>
      <c r="B527" s="41">
        <f>REGISTRO_B.DATOS!B528</f>
        <v>0</v>
      </c>
      <c r="C527" s="41">
        <f>REGISTRO_B.DATOS!C528</f>
        <v>0</v>
      </c>
      <c r="D527" s="41">
        <f>REGISTRO_B.DATOS!D528</f>
        <v>0</v>
      </c>
      <c r="E527" s="42">
        <f>REGISTRO_B.DATOS!E528</f>
        <v>0</v>
      </c>
      <c r="F527" s="41">
        <f>REGISTRO_B.DATOS!F528</f>
        <v>0</v>
      </c>
      <c r="G527" s="41">
        <f>REGISTRO_B.DATOS!G528</f>
        <v>0</v>
      </c>
      <c r="H527" s="41">
        <f>REGISTRO_B.DATOS!H528</f>
        <v>0</v>
      </c>
      <c r="I527" s="41">
        <f>REGISTRO_B.DATOS!I528</f>
        <v>0</v>
      </c>
      <c r="J527" s="41">
        <f>REGISTRO_B.DATOS!J528</f>
        <v>0</v>
      </c>
      <c r="K527" s="43">
        <f>REGISTRO_B.DATOS!K528</f>
        <v>0</v>
      </c>
    </row>
    <row r="528" spans="1:11" x14ac:dyDescent="0.25">
      <c r="A528" s="40">
        <f>REGISTRO_B.DATOS!A529</f>
        <v>0</v>
      </c>
      <c r="B528" s="41">
        <f>REGISTRO_B.DATOS!B529</f>
        <v>0</v>
      </c>
      <c r="C528" s="41">
        <f>REGISTRO_B.DATOS!C529</f>
        <v>0</v>
      </c>
      <c r="D528" s="41">
        <f>REGISTRO_B.DATOS!D529</f>
        <v>0</v>
      </c>
      <c r="E528" s="42">
        <f>REGISTRO_B.DATOS!E529</f>
        <v>0</v>
      </c>
      <c r="F528" s="41">
        <f>REGISTRO_B.DATOS!F529</f>
        <v>0</v>
      </c>
      <c r="G528" s="41">
        <f>REGISTRO_B.DATOS!G529</f>
        <v>0</v>
      </c>
      <c r="H528" s="41">
        <f>REGISTRO_B.DATOS!H529</f>
        <v>0</v>
      </c>
      <c r="I528" s="41">
        <f>REGISTRO_B.DATOS!I529</f>
        <v>0</v>
      </c>
      <c r="J528" s="41">
        <f>REGISTRO_B.DATOS!J529</f>
        <v>0</v>
      </c>
      <c r="K528" s="43">
        <f>REGISTRO_B.DATOS!K529</f>
        <v>0</v>
      </c>
    </row>
    <row r="529" spans="1:11" x14ac:dyDescent="0.25">
      <c r="A529" s="40">
        <f>REGISTRO_B.DATOS!A530</f>
        <v>0</v>
      </c>
      <c r="B529" s="41">
        <f>REGISTRO_B.DATOS!B530</f>
        <v>0</v>
      </c>
      <c r="C529" s="41">
        <f>REGISTRO_B.DATOS!C530</f>
        <v>0</v>
      </c>
      <c r="D529" s="41">
        <f>REGISTRO_B.DATOS!D530</f>
        <v>0</v>
      </c>
      <c r="E529" s="42">
        <f>REGISTRO_B.DATOS!E530</f>
        <v>0</v>
      </c>
      <c r="F529" s="41">
        <f>REGISTRO_B.DATOS!F530</f>
        <v>0</v>
      </c>
      <c r="G529" s="41">
        <f>REGISTRO_B.DATOS!G530</f>
        <v>0</v>
      </c>
      <c r="H529" s="41">
        <f>REGISTRO_B.DATOS!H530</f>
        <v>0</v>
      </c>
      <c r="I529" s="41">
        <f>REGISTRO_B.DATOS!I530</f>
        <v>0</v>
      </c>
      <c r="J529" s="41">
        <f>REGISTRO_B.DATOS!J530</f>
        <v>0</v>
      </c>
      <c r="K529" s="43">
        <f>REGISTRO_B.DATOS!K530</f>
        <v>0</v>
      </c>
    </row>
    <row r="530" spans="1:11" x14ac:dyDescent="0.25">
      <c r="A530" s="40">
        <f>REGISTRO_B.DATOS!A531</f>
        <v>0</v>
      </c>
      <c r="B530" s="41">
        <f>REGISTRO_B.DATOS!B531</f>
        <v>0</v>
      </c>
      <c r="C530" s="41">
        <f>REGISTRO_B.DATOS!C531</f>
        <v>0</v>
      </c>
      <c r="D530" s="41">
        <f>REGISTRO_B.DATOS!D531</f>
        <v>0</v>
      </c>
      <c r="E530" s="42">
        <f>REGISTRO_B.DATOS!E531</f>
        <v>0</v>
      </c>
      <c r="F530" s="41">
        <f>REGISTRO_B.DATOS!F531</f>
        <v>0</v>
      </c>
      <c r="G530" s="41">
        <f>REGISTRO_B.DATOS!G531</f>
        <v>0</v>
      </c>
      <c r="H530" s="41">
        <f>REGISTRO_B.DATOS!H531</f>
        <v>0</v>
      </c>
      <c r="I530" s="41">
        <f>REGISTRO_B.DATOS!I531</f>
        <v>0</v>
      </c>
      <c r="J530" s="41">
        <f>REGISTRO_B.DATOS!J531</f>
        <v>0</v>
      </c>
      <c r="K530" s="43">
        <f>REGISTRO_B.DATOS!K531</f>
        <v>0</v>
      </c>
    </row>
    <row r="531" spans="1:11" x14ac:dyDescent="0.25">
      <c r="A531" s="40">
        <f>REGISTRO_B.DATOS!A532</f>
        <v>0</v>
      </c>
      <c r="B531" s="41">
        <f>REGISTRO_B.DATOS!B532</f>
        <v>0</v>
      </c>
      <c r="C531" s="41">
        <f>REGISTRO_B.DATOS!C532</f>
        <v>0</v>
      </c>
      <c r="D531" s="41">
        <f>REGISTRO_B.DATOS!D532</f>
        <v>0</v>
      </c>
      <c r="E531" s="42">
        <f>REGISTRO_B.DATOS!E532</f>
        <v>0</v>
      </c>
      <c r="F531" s="41">
        <f>REGISTRO_B.DATOS!F532</f>
        <v>0</v>
      </c>
      <c r="G531" s="41">
        <f>REGISTRO_B.DATOS!G532</f>
        <v>0</v>
      </c>
      <c r="H531" s="41">
        <f>REGISTRO_B.DATOS!H532</f>
        <v>0</v>
      </c>
      <c r="I531" s="41">
        <f>REGISTRO_B.DATOS!I532</f>
        <v>0</v>
      </c>
      <c r="J531" s="41">
        <f>REGISTRO_B.DATOS!J532</f>
        <v>0</v>
      </c>
      <c r="K531" s="43">
        <f>REGISTRO_B.DATOS!K532</f>
        <v>0</v>
      </c>
    </row>
    <row r="532" spans="1:11" x14ac:dyDescent="0.25">
      <c r="A532" s="40">
        <f>REGISTRO_B.DATOS!A533</f>
        <v>0</v>
      </c>
      <c r="B532" s="41">
        <f>REGISTRO_B.DATOS!B533</f>
        <v>0</v>
      </c>
      <c r="C532" s="41">
        <f>REGISTRO_B.DATOS!C533</f>
        <v>0</v>
      </c>
      <c r="D532" s="41">
        <f>REGISTRO_B.DATOS!D533</f>
        <v>0</v>
      </c>
      <c r="E532" s="42">
        <f>REGISTRO_B.DATOS!E533</f>
        <v>0</v>
      </c>
      <c r="F532" s="41">
        <f>REGISTRO_B.DATOS!F533</f>
        <v>0</v>
      </c>
      <c r="G532" s="41">
        <f>REGISTRO_B.DATOS!G533</f>
        <v>0</v>
      </c>
      <c r="H532" s="41">
        <f>REGISTRO_B.DATOS!H533</f>
        <v>0</v>
      </c>
      <c r="I532" s="41">
        <f>REGISTRO_B.DATOS!I533</f>
        <v>0</v>
      </c>
      <c r="J532" s="41">
        <f>REGISTRO_B.DATOS!J533</f>
        <v>0</v>
      </c>
      <c r="K532" s="43">
        <f>REGISTRO_B.DATOS!K533</f>
        <v>0</v>
      </c>
    </row>
    <row r="533" spans="1:11" x14ac:dyDescent="0.25">
      <c r="A533" s="40">
        <f>REGISTRO_B.DATOS!A534</f>
        <v>0</v>
      </c>
      <c r="B533" s="41">
        <f>REGISTRO_B.DATOS!B534</f>
        <v>0</v>
      </c>
      <c r="C533" s="41">
        <f>REGISTRO_B.DATOS!C534</f>
        <v>0</v>
      </c>
      <c r="D533" s="41">
        <f>REGISTRO_B.DATOS!D534</f>
        <v>0</v>
      </c>
      <c r="E533" s="42">
        <f>REGISTRO_B.DATOS!E534</f>
        <v>0</v>
      </c>
      <c r="F533" s="41">
        <f>REGISTRO_B.DATOS!F534</f>
        <v>0</v>
      </c>
      <c r="G533" s="41">
        <f>REGISTRO_B.DATOS!G534</f>
        <v>0</v>
      </c>
      <c r="H533" s="41">
        <f>REGISTRO_B.DATOS!H534</f>
        <v>0</v>
      </c>
      <c r="I533" s="41">
        <f>REGISTRO_B.DATOS!I534</f>
        <v>0</v>
      </c>
      <c r="J533" s="41">
        <f>REGISTRO_B.DATOS!J534</f>
        <v>0</v>
      </c>
      <c r="K533" s="43">
        <f>REGISTRO_B.DATOS!K534</f>
        <v>0</v>
      </c>
    </row>
    <row r="534" spans="1:11" x14ac:dyDescent="0.25">
      <c r="A534" s="40">
        <f>REGISTRO_B.DATOS!A535</f>
        <v>0</v>
      </c>
      <c r="B534" s="41">
        <f>REGISTRO_B.DATOS!B535</f>
        <v>0</v>
      </c>
      <c r="C534" s="41">
        <f>REGISTRO_B.DATOS!C535</f>
        <v>0</v>
      </c>
      <c r="D534" s="41">
        <f>REGISTRO_B.DATOS!D535</f>
        <v>0</v>
      </c>
      <c r="E534" s="42">
        <f>REGISTRO_B.DATOS!E535</f>
        <v>0</v>
      </c>
      <c r="F534" s="41">
        <f>REGISTRO_B.DATOS!F535</f>
        <v>0</v>
      </c>
      <c r="G534" s="41">
        <f>REGISTRO_B.DATOS!G535</f>
        <v>0</v>
      </c>
      <c r="H534" s="41">
        <f>REGISTRO_B.DATOS!H535</f>
        <v>0</v>
      </c>
      <c r="I534" s="41">
        <f>REGISTRO_B.DATOS!I535</f>
        <v>0</v>
      </c>
      <c r="J534" s="41">
        <f>REGISTRO_B.DATOS!J535</f>
        <v>0</v>
      </c>
      <c r="K534" s="43">
        <f>REGISTRO_B.DATOS!K535</f>
        <v>0</v>
      </c>
    </row>
    <row r="535" spans="1:11" x14ac:dyDescent="0.25">
      <c r="A535" s="40">
        <f>REGISTRO_B.DATOS!A536</f>
        <v>0</v>
      </c>
      <c r="B535" s="41">
        <f>REGISTRO_B.DATOS!B536</f>
        <v>0</v>
      </c>
      <c r="C535" s="41">
        <f>REGISTRO_B.DATOS!C536</f>
        <v>0</v>
      </c>
      <c r="D535" s="41">
        <f>REGISTRO_B.DATOS!D536</f>
        <v>0</v>
      </c>
      <c r="E535" s="42">
        <f>REGISTRO_B.DATOS!E536</f>
        <v>0</v>
      </c>
      <c r="F535" s="41">
        <f>REGISTRO_B.DATOS!F536</f>
        <v>0</v>
      </c>
      <c r="G535" s="41">
        <f>REGISTRO_B.DATOS!G536</f>
        <v>0</v>
      </c>
      <c r="H535" s="41">
        <f>REGISTRO_B.DATOS!H536</f>
        <v>0</v>
      </c>
      <c r="I535" s="41">
        <f>REGISTRO_B.DATOS!I536</f>
        <v>0</v>
      </c>
      <c r="J535" s="41">
        <f>REGISTRO_B.DATOS!J536</f>
        <v>0</v>
      </c>
      <c r="K535" s="43">
        <f>REGISTRO_B.DATOS!K536</f>
        <v>0</v>
      </c>
    </row>
    <row r="536" spans="1:11" x14ac:dyDescent="0.25">
      <c r="A536" s="40">
        <f>REGISTRO_B.DATOS!A537</f>
        <v>0</v>
      </c>
      <c r="B536" s="41">
        <f>REGISTRO_B.DATOS!B537</f>
        <v>0</v>
      </c>
      <c r="C536" s="41">
        <f>REGISTRO_B.DATOS!C537</f>
        <v>0</v>
      </c>
      <c r="D536" s="41">
        <f>REGISTRO_B.DATOS!D537</f>
        <v>0</v>
      </c>
      <c r="E536" s="42">
        <f>REGISTRO_B.DATOS!E537</f>
        <v>0</v>
      </c>
      <c r="F536" s="41">
        <f>REGISTRO_B.DATOS!F537</f>
        <v>0</v>
      </c>
      <c r="G536" s="41">
        <f>REGISTRO_B.DATOS!G537</f>
        <v>0</v>
      </c>
      <c r="H536" s="41">
        <f>REGISTRO_B.DATOS!H537</f>
        <v>0</v>
      </c>
      <c r="I536" s="41">
        <f>REGISTRO_B.DATOS!I537</f>
        <v>0</v>
      </c>
      <c r="J536" s="41">
        <f>REGISTRO_B.DATOS!J537</f>
        <v>0</v>
      </c>
      <c r="K536" s="43">
        <f>REGISTRO_B.DATOS!K537</f>
        <v>0</v>
      </c>
    </row>
    <row r="537" spans="1:11" x14ac:dyDescent="0.25">
      <c r="A537" s="40">
        <f>REGISTRO_B.DATOS!A538</f>
        <v>0</v>
      </c>
      <c r="B537" s="41">
        <f>REGISTRO_B.DATOS!B538</f>
        <v>0</v>
      </c>
      <c r="C537" s="41">
        <f>REGISTRO_B.DATOS!C538</f>
        <v>0</v>
      </c>
      <c r="D537" s="41">
        <f>REGISTRO_B.DATOS!D538</f>
        <v>0</v>
      </c>
      <c r="E537" s="42">
        <f>REGISTRO_B.DATOS!E538</f>
        <v>0</v>
      </c>
      <c r="F537" s="41">
        <f>REGISTRO_B.DATOS!F538</f>
        <v>0</v>
      </c>
      <c r="G537" s="41">
        <f>REGISTRO_B.DATOS!G538</f>
        <v>0</v>
      </c>
      <c r="H537" s="41">
        <f>REGISTRO_B.DATOS!H538</f>
        <v>0</v>
      </c>
      <c r="I537" s="41">
        <f>REGISTRO_B.DATOS!I538</f>
        <v>0</v>
      </c>
      <c r="J537" s="41">
        <f>REGISTRO_B.DATOS!J538</f>
        <v>0</v>
      </c>
      <c r="K537" s="43">
        <f>REGISTRO_B.DATOS!K538</f>
        <v>0</v>
      </c>
    </row>
    <row r="538" spans="1:11" x14ac:dyDescent="0.25">
      <c r="A538" s="40">
        <f>REGISTRO_B.DATOS!A539</f>
        <v>0</v>
      </c>
      <c r="B538" s="41">
        <f>REGISTRO_B.DATOS!B539</f>
        <v>0</v>
      </c>
      <c r="C538" s="41">
        <f>REGISTRO_B.DATOS!C539</f>
        <v>0</v>
      </c>
      <c r="D538" s="41">
        <f>REGISTRO_B.DATOS!D539</f>
        <v>0</v>
      </c>
      <c r="E538" s="42">
        <f>REGISTRO_B.DATOS!E539</f>
        <v>0</v>
      </c>
      <c r="F538" s="41">
        <f>REGISTRO_B.DATOS!F539</f>
        <v>0</v>
      </c>
      <c r="G538" s="41">
        <f>REGISTRO_B.DATOS!G539</f>
        <v>0</v>
      </c>
      <c r="H538" s="41">
        <f>REGISTRO_B.DATOS!H539</f>
        <v>0</v>
      </c>
      <c r="I538" s="41">
        <f>REGISTRO_B.DATOS!I539</f>
        <v>0</v>
      </c>
      <c r="J538" s="41">
        <f>REGISTRO_B.DATOS!J539</f>
        <v>0</v>
      </c>
      <c r="K538" s="43">
        <f>REGISTRO_B.DATOS!K539</f>
        <v>0</v>
      </c>
    </row>
    <row r="539" spans="1:11" x14ac:dyDescent="0.25">
      <c r="A539" s="40">
        <f>REGISTRO_B.DATOS!A540</f>
        <v>0</v>
      </c>
      <c r="B539" s="41">
        <f>REGISTRO_B.DATOS!B540</f>
        <v>0</v>
      </c>
      <c r="C539" s="41">
        <f>REGISTRO_B.DATOS!C540</f>
        <v>0</v>
      </c>
      <c r="D539" s="41">
        <f>REGISTRO_B.DATOS!D540</f>
        <v>0</v>
      </c>
      <c r="E539" s="42">
        <f>REGISTRO_B.DATOS!E540</f>
        <v>0</v>
      </c>
      <c r="F539" s="41">
        <f>REGISTRO_B.DATOS!F540</f>
        <v>0</v>
      </c>
      <c r="G539" s="41">
        <f>REGISTRO_B.DATOS!G540</f>
        <v>0</v>
      </c>
      <c r="H539" s="41">
        <f>REGISTRO_B.DATOS!H540</f>
        <v>0</v>
      </c>
      <c r="I539" s="41">
        <f>REGISTRO_B.DATOS!I540</f>
        <v>0</v>
      </c>
      <c r="J539" s="41">
        <f>REGISTRO_B.DATOS!J540</f>
        <v>0</v>
      </c>
      <c r="K539" s="43">
        <f>REGISTRO_B.DATOS!K540</f>
        <v>0</v>
      </c>
    </row>
    <row r="540" spans="1:11" x14ac:dyDescent="0.25">
      <c r="A540" s="40">
        <f>REGISTRO_B.DATOS!A541</f>
        <v>0</v>
      </c>
      <c r="B540" s="41">
        <f>REGISTRO_B.DATOS!B541</f>
        <v>0</v>
      </c>
      <c r="C540" s="41">
        <f>REGISTRO_B.DATOS!C541</f>
        <v>0</v>
      </c>
      <c r="D540" s="41">
        <f>REGISTRO_B.DATOS!D541</f>
        <v>0</v>
      </c>
      <c r="E540" s="42">
        <f>REGISTRO_B.DATOS!E541</f>
        <v>0</v>
      </c>
      <c r="F540" s="41">
        <f>REGISTRO_B.DATOS!F541</f>
        <v>0</v>
      </c>
      <c r="G540" s="41">
        <f>REGISTRO_B.DATOS!G541</f>
        <v>0</v>
      </c>
      <c r="H540" s="41">
        <f>REGISTRO_B.DATOS!H541</f>
        <v>0</v>
      </c>
      <c r="I540" s="41">
        <f>REGISTRO_B.DATOS!I541</f>
        <v>0</v>
      </c>
      <c r="J540" s="41">
        <f>REGISTRO_B.DATOS!J541</f>
        <v>0</v>
      </c>
      <c r="K540" s="43">
        <f>REGISTRO_B.DATOS!K541</f>
        <v>0</v>
      </c>
    </row>
    <row r="541" spans="1:11" x14ac:dyDescent="0.25">
      <c r="A541" s="40">
        <f>REGISTRO_B.DATOS!A542</f>
        <v>0</v>
      </c>
      <c r="B541" s="41">
        <f>REGISTRO_B.DATOS!B542</f>
        <v>0</v>
      </c>
      <c r="C541" s="41">
        <f>REGISTRO_B.DATOS!C542</f>
        <v>0</v>
      </c>
      <c r="D541" s="41">
        <f>REGISTRO_B.DATOS!D542</f>
        <v>0</v>
      </c>
      <c r="E541" s="42">
        <f>REGISTRO_B.DATOS!E542</f>
        <v>0</v>
      </c>
      <c r="F541" s="41">
        <f>REGISTRO_B.DATOS!F542</f>
        <v>0</v>
      </c>
      <c r="G541" s="41">
        <f>REGISTRO_B.DATOS!G542</f>
        <v>0</v>
      </c>
      <c r="H541" s="41">
        <f>REGISTRO_B.DATOS!H542</f>
        <v>0</v>
      </c>
      <c r="I541" s="41">
        <f>REGISTRO_B.DATOS!I542</f>
        <v>0</v>
      </c>
      <c r="J541" s="41">
        <f>REGISTRO_B.DATOS!J542</f>
        <v>0</v>
      </c>
      <c r="K541" s="43">
        <f>REGISTRO_B.DATOS!K542</f>
        <v>0</v>
      </c>
    </row>
    <row r="542" spans="1:11" x14ac:dyDescent="0.25">
      <c r="A542" s="40">
        <f>REGISTRO_B.DATOS!A543</f>
        <v>0</v>
      </c>
      <c r="B542" s="41">
        <f>REGISTRO_B.DATOS!B543</f>
        <v>0</v>
      </c>
      <c r="C542" s="41">
        <f>REGISTRO_B.DATOS!C543</f>
        <v>0</v>
      </c>
      <c r="D542" s="41">
        <f>REGISTRO_B.DATOS!D543</f>
        <v>0</v>
      </c>
      <c r="E542" s="42">
        <f>REGISTRO_B.DATOS!E543</f>
        <v>0</v>
      </c>
      <c r="F542" s="41">
        <f>REGISTRO_B.DATOS!F543</f>
        <v>0</v>
      </c>
      <c r="G542" s="41">
        <f>REGISTRO_B.DATOS!G543</f>
        <v>0</v>
      </c>
      <c r="H542" s="41">
        <f>REGISTRO_B.DATOS!H543</f>
        <v>0</v>
      </c>
      <c r="I542" s="41">
        <f>REGISTRO_B.DATOS!I543</f>
        <v>0</v>
      </c>
      <c r="J542" s="41">
        <f>REGISTRO_B.DATOS!J543</f>
        <v>0</v>
      </c>
      <c r="K542" s="43">
        <f>REGISTRO_B.DATOS!K543</f>
        <v>0</v>
      </c>
    </row>
    <row r="543" spans="1:11" x14ac:dyDescent="0.25">
      <c r="A543" s="40">
        <f>REGISTRO_B.DATOS!A544</f>
        <v>0</v>
      </c>
      <c r="B543" s="41">
        <f>REGISTRO_B.DATOS!B544</f>
        <v>0</v>
      </c>
      <c r="C543" s="41">
        <f>REGISTRO_B.DATOS!C544</f>
        <v>0</v>
      </c>
      <c r="D543" s="41">
        <f>REGISTRO_B.DATOS!D544</f>
        <v>0</v>
      </c>
      <c r="E543" s="42">
        <f>REGISTRO_B.DATOS!E544</f>
        <v>0</v>
      </c>
      <c r="F543" s="41">
        <f>REGISTRO_B.DATOS!F544</f>
        <v>0</v>
      </c>
      <c r="G543" s="41">
        <f>REGISTRO_B.DATOS!G544</f>
        <v>0</v>
      </c>
      <c r="H543" s="41">
        <f>REGISTRO_B.DATOS!H544</f>
        <v>0</v>
      </c>
      <c r="I543" s="41">
        <f>REGISTRO_B.DATOS!I544</f>
        <v>0</v>
      </c>
      <c r="J543" s="41">
        <f>REGISTRO_B.DATOS!J544</f>
        <v>0</v>
      </c>
      <c r="K543" s="43">
        <f>REGISTRO_B.DATOS!K544</f>
        <v>0</v>
      </c>
    </row>
    <row r="544" spans="1:11" x14ac:dyDescent="0.25">
      <c r="A544" s="40">
        <f>REGISTRO_B.DATOS!A545</f>
        <v>0</v>
      </c>
      <c r="B544" s="41">
        <f>REGISTRO_B.DATOS!B545</f>
        <v>0</v>
      </c>
      <c r="C544" s="41">
        <f>REGISTRO_B.DATOS!C545</f>
        <v>0</v>
      </c>
      <c r="D544" s="41">
        <f>REGISTRO_B.DATOS!D545</f>
        <v>0</v>
      </c>
      <c r="E544" s="42">
        <f>REGISTRO_B.DATOS!E545</f>
        <v>0</v>
      </c>
      <c r="F544" s="41">
        <f>REGISTRO_B.DATOS!F545</f>
        <v>0</v>
      </c>
      <c r="G544" s="41">
        <f>REGISTRO_B.DATOS!G545</f>
        <v>0</v>
      </c>
      <c r="H544" s="41">
        <f>REGISTRO_B.DATOS!H545</f>
        <v>0</v>
      </c>
      <c r="I544" s="41">
        <f>REGISTRO_B.DATOS!I545</f>
        <v>0</v>
      </c>
      <c r="J544" s="41">
        <f>REGISTRO_B.DATOS!J545</f>
        <v>0</v>
      </c>
      <c r="K544" s="43">
        <f>REGISTRO_B.DATOS!K545</f>
        <v>0</v>
      </c>
    </row>
    <row r="545" spans="1:11" x14ac:dyDescent="0.25">
      <c r="A545" s="40">
        <f>REGISTRO_B.DATOS!A546</f>
        <v>0</v>
      </c>
      <c r="B545" s="41">
        <f>REGISTRO_B.DATOS!B546</f>
        <v>0</v>
      </c>
      <c r="C545" s="41">
        <f>REGISTRO_B.DATOS!C546</f>
        <v>0</v>
      </c>
      <c r="D545" s="41">
        <f>REGISTRO_B.DATOS!D546</f>
        <v>0</v>
      </c>
      <c r="E545" s="42">
        <f>REGISTRO_B.DATOS!E546</f>
        <v>0</v>
      </c>
      <c r="F545" s="41">
        <f>REGISTRO_B.DATOS!F546</f>
        <v>0</v>
      </c>
      <c r="G545" s="41">
        <f>REGISTRO_B.DATOS!G546</f>
        <v>0</v>
      </c>
      <c r="H545" s="41">
        <f>REGISTRO_B.DATOS!H546</f>
        <v>0</v>
      </c>
      <c r="I545" s="41">
        <f>REGISTRO_B.DATOS!I546</f>
        <v>0</v>
      </c>
      <c r="J545" s="41">
        <f>REGISTRO_B.DATOS!J546</f>
        <v>0</v>
      </c>
      <c r="K545" s="43">
        <f>REGISTRO_B.DATOS!K546</f>
        <v>0</v>
      </c>
    </row>
    <row r="546" spans="1:11" x14ac:dyDescent="0.25">
      <c r="A546" s="40">
        <f>REGISTRO_B.DATOS!A547</f>
        <v>0</v>
      </c>
      <c r="B546" s="41">
        <f>REGISTRO_B.DATOS!B547</f>
        <v>0</v>
      </c>
      <c r="C546" s="41">
        <f>REGISTRO_B.DATOS!C547</f>
        <v>0</v>
      </c>
      <c r="D546" s="41">
        <f>REGISTRO_B.DATOS!D547</f>
        <v>0</v>
      </c>
      <c r="E546" s="42">
        <f>REGISTRO_B.DATOS!E547</f>
        <v>0</v>
      </c>
      <c r="F546" s="41">
        <f>REGISTRO_B.DATOS!F547</f>
        <v>0</v>
      </c>
      <c r="G546" s="41">
        <f>REGISTRO_B.DATOS!G547</f>
        <v>0</v>
      </c>
      <c r="H546" s="41">
        <f>REGISTRO_B.DATOS!H547</f>
        <v>0</v>
      </c>
      <c r="I546" s="41">
        <f>REGISTRO_B.DATOS!I547</f>
        <v>0</v>
      </c>
      <c r="J546" s="41">
        <f>REGISTRO_B.DATOS!J547</f>
        <v>0</v>
      </c>
      <c r="K546" s="43">
        <f>REGISTRO_B.DATOS!K547</f>
        <v>0</v>
      </c>
    </row>
    <row r="547" spans="1:11" x14ac:dyDescent="0.25">
      <c r="A547" s="40">
        <f>REGISTRO_B.DATOS!A548</f>
        <v>0</v>
      </c>
      <c r="B547" s="41">
        <f>REGISTRO_B.DATOS!B548</f>
        <v>0</v>
      </c>
      <c r="C547" s="41">
        <f>REGISTRO_B.DATOS!C548</f>
        <v>0</v>
      </c>
      <c r="D547" s="41">
        <f>REGISTRO_B.DATOS!D548</f>
        <v>0</v>
      </c>
      <c r="E547" s="42">
        <f>REGISTRO_B.DATOS!E548</f>
        <v>0</v>
      </c>
      <c r="F547" s="41">
        <f>REGISTRO_B.DATOS!F548</f>
        <v>0</v>
      </c>
      <c r="G547" s="41">
        <f>REGISTRO_B.DATOS!G548</f>
        <v>0</v>
      </c>
      <c r="H547" s="41">
        <f>REGISTRO_B.DATOS!H548</f>
        <v>0</v>
      </c>
      <c r="I547" s="41">
        <f>REGISTRO_B.DATOS!I548</f>
        <v>0</v>
      </c>
      <c r="J547" s="41">
        <f>REGISTRO_B.DATOS!J548</f>
        <v>0</v>
      </c>
      <c r="K547" s="43">
        <f>REGISTRO_B.DATOS!K548</f>
        <v>0</v>
      </c>
    </row>
    <row r="548" spans="1:11" x14ac:dyDescent="0.25">
      <c r="A548" s="40">
        <f>REGISTRO_B.DATOS!A549</f>
        <v>0</v>
      </c>
      <c r="B548" s="41">
        <f>REGISTRO_B.DATOS!B549</f>
        <v>0</v>
      </c>
      <c r="C548" s="41">
        <f>REGISTRO_B.DATOS!C549</f>
        <v>0</v>
      </c>
      <c r="D548" s="41">
        <f>REGISTRO_B.DATOS!D549</f>
        <v>0</v>
      </c>
      <c r="E548" s="42">
        <f>REGISTRO_B.DATOS!E549</f>
        <v>0</v>
      </c>
      <c r="F548" s="41">
        <f>REGISTRO_B.DATOS!F549</f>
        <v>0</v>
      </c>
      <c r="G548" s="41">
        <f>REGISTRO_B.DATOS!G549</f>
        <v>0</v>
      </c>
      <c r="H548" s="41">
        <f>REGISTRO_B.DATOS!H549</f>
        <v>0</v>
      </c>
      <c r="I548" s="41">
        <f>REGISTRO_B.DATOS!I549</f>
        <v>0</v>
      </c>
      <c r="J548" s="41">
        <f>REGISTRO_B.DATOS!J549</f>
        <v>0</v>
      </c>
      <c r="K548" s="43">
        <f>REGISTRO_B.DATOS!K549</f>
        <v>0</v>
      </c>
    </row>
    <row r="549" spans="1:11" x14ac:dyDescent="0.25">
      <c r="A549" s="40">
        <f>REGISTRO_B.DATOS!A550</f>
        <v>0</v>
      </c>
      <c r="B549" s="41">
        <f>REGISTRO_B.DATOS!B550</f>
        <v>0</v>
      </c>
      <c r="C549" s="41">
        <f>REGISTRO_B.DATOS!C550</f>
        <v>0</v>
      </c>
      <c r="D549" s="41">
        <f>REGISTRO_B.DATOS!D550</f>
        <v>0</v>
      </c>
      <c r="E549" s="42">
        <f>REGISTRO_B.DATOS!E550</f>
        <v>0</v>
      </c>
      <c r="F549" s="41">
        <f>REGISTRO_B.DATOS!F550</f>
        <v>0</v>
      </c>
      <c r="G549" s="41">
        <f>REGISTRO_B.DATOS!G550</f>
        <v>0</v>
      </c>
      <c r="H549" s="41">
        <f>REGISTRO_B.DATOS!H550</f>
        <v>0</v>
      </c>
      <c r="I549" s="41">
        <f>REGISTRO_B.DATOS!I550</f>
        <v>0</v>
      </c>
      <c r="J549" s="41">
        <f>REGISTRO_B.DATOS!J550</f>
        <v>0</v>
      </c>
      <c r="K549" s="43">
        <f>REGISTRO_B.DATOS!K550</f>
        <v>0</v>
      </c>
    </row>
    <row r="550" spans="1:11" x14ac:dyDescent="0.25">
      <c r="A550" s="40">
        <f>REGISTRO_B.DATOS!A551</f>
        <v>0</v>
      </c>
      <c r="B550" s="41">
        <f>REGISTRO_B.DATOS!B551</f>
        <v>0</v>
      </c>
      <c r="C550" s="41">
        <f>REGISTRO_B.DATOS!C551</f>
        <v>0</v>
      </c>
      <c r="D550" s="41">
        <f>REGISTRO_B.DATOS!D551</f>
        <v>0</v>
      </c>
      <c r="E550" s="42">
        <f>REGISTRO_B.DATOS!E551</f>
        <v>0</v>
      </c>
      <c r="F550" s="41">
        <f>REGISTRO_B.DATOS!F551</f>
        <v>0</v>
      </c>
      <c r="G550" s="41">
        <f>REGISTRO_B.DATOS!G551</f>
        <v>0</v>
      </c>
      <c r="H550" s="41">
        <f>REGISTRO_B.DATOS!H551</f>
        <v>0</v>
      </c>
      <c r="I550" s="41">
        <f>REGISTRO_B.DATOS!I551</f>
        <v>0</v>
      </c>
      <c r="J550" s="41">
        <f>REGISTRO_B.DATOS!J551</f>
        <v>0</v>
      </c>
      <c r="K550" s="43">
        <f>REGISTRO_B.DATOS!K551</f>
        <v>0</v>
      </c>
    </row>
    <row r="551" spans="1:11" x14ac:dyDescent="0.25">
      <c r="A551" s="40">
        <f>REGISTRO_B.DATOS!A552</f>
        <v>0</v>
      </c>
      <c r="B551" s="41">
        <f>REGISTRO_B.DATOS!B552</f>
        <v>0</v>
      </c>
      <c r="C551" s="41">
        <f>REGISTRO_B.DATOS!C552</f>
        <v>0</v>
      </c>
      <c r="D551" s="41">
        <f>REGISTRO_B.DATOS!D552</f>
        <v>0</v>
      </c>
      <c r="E551" s="42">
        <f>REGISTRO_B.DATOS!E552</f>
        <v>0</v>
      </c>
      <c r="F551" s="41">
        <f>REGISTRO_B.DATOS!F552</f>
        <v>0</v>
      </c>
      <c r="G551" s="41">
        <f>REGISTRO_B.DATOS!G552</f>
        <v>0</v>
      </c>
      <c r="H551" s="41">
        <f>REGISTRO_B.DATOS!H552</f>
        <v>0</v>
      </c>
      <c r="I551" s="41">
        <f>REGISTRO_B.DATOS!I552</f>
        <v>0</v>
      </c>
      <c r="J551" s="41">
        <f>REGISTRO_B.DATOS!J552</f>
        <v>0</v>
      </c>
      <c r="K551" s="43">
        <f>REGISTRO_B.DATOS!K552</f>
        <v>0</v>
      </c>
    </row>
    <row r="552" spans="1:11" x14ac:dyDescent="0.25">
      <c r="A552" s="40">
        <f>REGISTRO_B.DATOS!A553</f>
        <v>0</v>
      </c>
      <c r="B552" s="41">
        <f>REGISTRO_B.DATOS!B553</f>
        <v>0</v>
      </c>
      <c r="C552" s="41">
        <f>REGISTRO_B.DATOS!C553</f>
        <v>0</v>
      </c>
      <c r="D552" s="41">
        <f>REGISTRO_B.DATOS!D553</f>
        <v>0</v>
      </c>
      <c r="E552" s="42">
        <f>REGISTRO_B.DATOS!E553</f>
        <v>0</v>
      </c>
      <c r="F552" s="41">
        <f>REGISTRO_B.DATOS!F553</f>
        <v>0</v>
      </c>
      <c r="G552" s="41">
        <f>REGISTRO_B.DATOS!G553</f>
        <v>0</v>
      </c>
      <c r="H552" s="41">
        <f>REGISTRO_B.DATOS!H553</f>
        <v>0</v>
      </c>
      <c r="I552" s="41">
        <f>REGISTRO_B.DATOS!I553</f>
        <v>0</v>
      </c>
      <c r="J552" s="41">
        <f>REGISTRO_B.DATOS!J553</f>
        <v>0</v>
      </c>
      <c r="K552" s="43">
        <f>REGISTRO_B.DATOS!K553</f>
        <v>0</v>
      </c>
    </row>
    <row r="553" spans="1:11" x14ac:dyDescent="0.25">
      <c r="A553" s="40">
        <f>REGISTRO_B.DATOS!A554</f>
        <v>0</v>
      </c>
      <c r="B553" s="41">
        <f>REGISTRO_B.DATOS!B554</f>
        <v>0</v>
      </c>
      <c r="C553" s="41">
        <f>REGISTRO_B.DATOS!C554</f>
        <v>0</v>
      </c>
      <c r="D553" s="41">
        <f>REGISTRO_B.DATOS!D554</f>
        <v>0</v>
      </c>
      <c r="E553" s="42">
        <f>REGISTRO_B.DATOS!E554</f>
        <v>0</v>
      </c>
      <c r="F553" s="41">
        <f>REGISTRO_B.DATOS!F554</f>
        <v>0</v>
      </c>
      <c r="G553" s="41">
        <f>REGISTRO_B.DATOS!G554</f>
        <v>0</v>
      </c>
      <c r="H553" s="41">
        <f>REGISTRO_B.DATOS!H554</f>
        <v>0</v>
      </c>
      <c r="I553" s="41">
        <f>REGISTRO_B.DATOS!I554</f>
        <v>0</v>
      </c>
      <c r="J553" s="41">
        <f>REGISTRO_B.DATOS!J554</f>
        <v>0</v>
      </c>
      <c r="K553" s="43">
        <f>REGISTRO_B.DATOS!K554</f>
        <v>0</v>
      </c>
    </row>
    <row r="554" spans="1:11" x14ac:dyDescent="0.25">
      <c r="A554" s="40">
        <f>REGISTRO_B.DATOS!A555</f>
        <v>0</v>
      </c>
      <c r="B554" s="41">
        <f>REGISTRO_B.DATOS!B555</f>
        <v>0</v>
      </c>
      <c r="C554" s="41">
        <f>REGISTRO_B.DATOS!C555</f>
        <v>0</v>
      </c>
      <c r="D554" s="41">
        <f>REGISTRO_B.DATOS!D555</f>
        <v>0</v>
      </c>
      <c r="E554" s="42">
        <f>REGISTRO_B.DATOS!E555</f>
        <v>0</v>
      </c>
      <c r="F554" s="41">
        <f>REGISTRO_B.DATOS!F555</f>
        <v>0</v>
      </c>
      <c r="G554" s="41">
        <f>REGISTRO_B.DATOS!G555</f>
        <v>0</v>
      </c>
      <c r="H554" s="41">
        <f>REGISTRO_B.DATOS!H555</f>
        <v>0</v>
      </c>
      <c r="I554" s="41">
        <f>REGISTRO_B.DATOS!I555</f>
        <v>0</v>
      </c>
      <c r="J554" s="41">
        <f>REGISTRO_B.DATOS!J555</f>
        <v>0</v>
      </c>
      <c r="K554" s="43">
        <f>REGISTRO_B.DATOS!K555</f>
        <v>0</v>
      </c>
    </row>
    <row r="555" spans="1:11" x14ac:dyDescent="0.25">
      <c r="A555" s="40">
        <f>REGISTRO_B.DATOS!A556</f>
        <v>0</v>
      </c>
      <c r="B555" s="41">
        <f>REGISTRO_B.DATOS!B556</f>
        <v>0</v>
      </c>
      <c r="C555" s="41">
        <f>REGISTRO_B.DATOS!C556</f>
        <v>0</v>
      </c>
      <c r="D555" s="41">
        <f>REGISTRO_B.DATOS!D556</f>
        <v>0</v>
      </c>
      <c r="E555" s="42">
        <f>REGISTRO_B.DATOS!E556</f>
        <v>0</v>
      </c>
      <c r="F555" s="41">
        <f>REGISTRO_B.DATOS!F556</f>
        <v>0</v>
      </c>
      <c r="G555" s="41">
        <f>REGISTRO_B.DATOS!G556</f>
        <v>0</v>
      </c>
      <c r="H555" s="41">
        <f>REGISTRO_B.DATOS!H556</f>
        <v>0</v>
      </c>
      <c r="I555" s="41">
        <f>REGISTRO_B.DATOS!I556</f>
        <v>0</v>
      </c>
      <c r="J555" s="41">
        <f>REGISTRO_B.DATOS!J556</f>
        <v>0</v>
      </c>
      <c r="K555" s="43">
        <f>REGISTRO_B.DATOS!K556</f>
        <v>0</v>
      </c>
    </row>
    <row r="556" spans="1:11" x14ac:dyDescent="0.25">
      <c r="A556" s="40">
        <f>REGISTRO_B.DATOS!A557</f>
        <v>0</v>
      </c>
      <c r="B556" s="41">
        <f>REGISTRO_B.DATOS!B557</f>
        <v>0</v>
      </c>
      <c r="C556" s="41">
        <f>REGISTRO_B.DATOS!C557</f>
        <v>0</v>
      </c>
      <c r="D556" s="41">
        <f>REGISTRO_B.DATOS!D557</f>
        <v>0</v>
      </c>
      <c r="E556" s="42">
        <f>REGISTRO_B.DATOS!E557</f>
        <v>0</v>
      </c>
      <c r="F556" s="41">
        <f>REGISTRO_B.DATOS!F557</f>
        <v>0</v>
      </c>
      <c r="G556" s="41">
        <f>REGISTRO_B.DATOS!G557</f>
        <v>0</v>
      </c>
      <c r="H556" s="41">
        <f>REGISTRO_B.DATOS!H557</f>
        <v>0</v>
      </c>
      <c r="I556" s="41">
        <f>REGISTRO_B.DATOS!I557</f>
        <v>0</v>
      </c>
      <c r="J556" s="41">
        <f>REGISTRO_B.DATOS!J557</f>
        <v>0</v>
      </c>
      <c r="K556" s="43">
        <f>REGISTRO_B.DATOS!K557</f>
        <v>0</v>
      </c>
    </row>
    <row r="557" spans="1:11" x14ac:dyDescent="0.25">
      <c r="A557" s="40">
        <f>REGISTRO_B.DATOS!A558</f>
        <v>0</v>
      </c>
      <c r="B557" s="41">
        <f>REGISTRO_B.DATOS!B558</f>
        <v>0</v>
      </c>
      <c r="C557" s="41">
        <f>REGISTRO_B.DATOS!C558</f>
        <v>0</v>
      </c>
      <c r="D557" s="41">
        <f>REGISTRO_B.DATOS!D558</f>
        <v>0</v>
      </c>
      <c r="E557" s="42">
        <f>REGISTRO_B.DATOS!E558</f>
        <v>0</v>
      </c>
      <c r="F557" s="41">
        <f>REGISTRO_B.DATOS!F558</f>
        <v>0</v>
      </c>
      <c r="G557" s="41">
        <f>REGISTRO_B.DATOS!G558</f>
        <v>0</v>
      </c>
      <c r="H557" s="41">
        <f>REGISTRO_B.DATOS!H558</f>
        <v>0</v>
      </c>
      <c r="I557" s="41">
        <f>REGISTRO_B.DATOS!I558</f>
        <v>0</v>
      </c>
      <c r="J557" s="41">
        <f>REGISTRO_B.DATOS!J558</f>
        <v>0</v>
      </c>
      <c r="K557" s="43">
        <f>REGISTRO_B.DATOS!K558</f>
        <v>0</v>
      </c>
    </row>
    <row r="558" spans="1:11" x14ac:dyDescent="0.25">
      <c r="A558" s="40">
        <f>REGISTRO_B.DATOS!A559</f>
        <v>0</v>
      </c>
      <c r="B558" s="41">
        <f>REGISTRO_B.DATOS!B559</f>
        <v>0</v>
      </c>
      <c r="C558" s="41">
        <f>REGISTRO_B.DATOS!C559</f>
        <v>0</v>
      </c>
      <c r="D558" s="41">
        <f>REGISTRO_B.DATOS!D559</f>
        <v>0</v>
      </c>
      <c r="E558" s="42">
        <f>REGISTRO_B.DATOS!E559</f>
        <v>0</v>
      </c>
      <c r="F558" s="41">
        <f>REGISTRO_B.DATOS!F559</f>
        <v>0</v>
      </c>
      <c r="G558" s="41">
        <f>REGISTRO_B.DATOS!G559</f>
        <v>0</v>
      </c>
      <c r="H558" s="41">
        <f>REGISTRO_B.DATOS!H559</f>
        <v>0</v>
      </c>
      <c r="I558" s="41">
        <f>REGISTRO_B.DATOS!I559</f>
        <v>0</v>
      </c>
      <c r="J558" s="41">
        <f>REGISTRO_B.DATOS!J559</f>
        <v>0</v>
      </c>
      <c r="K558" s="43">
        <f>REGISTRO_B.DATOS!K559</f>
        <v>0</v>
      </c>
    </row>
    <row r="559" spans="1:11" x14ac:dyDescent="0.25">
      <c r="A559" s="40">
        <f>REGISTRO_B.DATOS!A560</f>
        <v>0</v>
      </c>
      <c r="B559" s="41">
        <f>REGISTRO_B.DATOS!B560</f>
        <v>0</v>
      </c>
      <c r="C559" s="41">
        <f>REGISTRO_B.DATOS!C560</f>
        <v>0</v>
      </c>
      <c r="D559" s="41">
        <f>REGISTRO_B.DATOS!D560</f>
        <v>0</v>
      </c>
      <c r="E559" s="42">
        <f>REGISTRO_B.DATOS!E560</f>
        <v>0</v>
      </c>
      <c r="F559" s="41">
        <f>REGISTRO_B.DATOS!F560</f>
        <v>0</v>
      </c>
      <c r="G559" s="41">
        <f>REGISTRO_B.DATOS!G560</f>
        <v>0</v>
      </c>
      <c r="H559" s="41">
        <f>REGISTRO_B.DATOS!H560</f>
        <v>0</v>
      </c>
      <c r="I559" s="41">
        <f>REGISTRO_B.DATOS!I560</f>
        <v>0</v>
      </c>
      <c r="J559" s="41">
        <f>REGISTRO_B.DATOS!J560</f>
        <v>0</v>
      </c>
      <c r="K559" s="43">
        <f>REGISTRO_B.DATOS!K560</f>
        <v>0</v>
      </c>
    </row>
    <row r="560" spans="1:11" x14ac:dyDescent="0.25">
      <c r="A560" s="40">
        <f>REGISTRO_B.DATOS!A561</f>
        <v>0</v>
      </c>
      <c r="B560" s="41">
        <f>REGISTRO_B.DATOS!B561</f>
        <v>0</v>
      </c>
      <c r="C560" s="41">
        <f>REGISTRO_B.DATOS!C561</f>
        <v>0</v>
      </c>
      <c r="D560" s="41">
        <f>REGISTRO_B.DATOS!D561</f>
        <v>0</v>
      </c>
      <c r="E560" s="42">
        <f>REGISTRO_B.DATOS!E561</f>
        <v>0</v>
      </c>
      <c r="F560" s="41">
        <f>REGISTRO_B.DATOS!F561</f>
        <v>0</v>
      </c>
      <c r="G560" s="41">
        <f>REGISTRO_B.DATOS!G561</f>
        <v>0</v>
      </c>
      <c r="H560" s="41">
        <f>REGISTRO_B.DATOS!H561</f>
        <v>0</v>
      </c>
      <c r="I560" s="41">
        <f>REGISTRO_B.DATOS!I561</f>
        <v>0</v>
      </c>
      <c r="J560" s="41">
        <f>REGISTRO_B.DATOS!J561</f>
        <v>0</v>
      </c>
      <c r="K560" s="43">
        <f>REGISTRO_B.DATOS!K561</f>
        <v>0</v>
      </c>
    </row>
    <row r="561" spans="1:11" x14ac:dyDescent="0.25">
      <c r="A561" s="40">
        <f>REGISTRO_B.DATOS!A562</f>
        <v>0</v>
      </c>
      <c r="B561" s="41">
        <f>REGISTRO_B.DATOS!B562</f>
        <v>0</v>
      </c>
      <c r="C561" s="41">
        <f>REGISTRO_B.DATOS!C562</f>
        <v>0</v>
      </c>
      <c r="D561" s="41">
        <f>REGISTRO_B.DATOS!D562</f>
        <v>0</v>
      </c>
      <c r="E561" s="42">
        <f>REGISTRO_B.DATOS!E562</f>
        <v>0</v>
      </c>
      <c r="F561" s="41">
        <f>REGISTRO_B.DATOS!F562</f>
        <v>0</v>
      </c>
      <c r="G561" s="41">
        <f>REGISTRO_B.DATOS!G562</f>
        <v>0</v>
      </c>
      <c r="H561" s="41">
        <f>REGISTRO_B.DATOS!H562</f>
        <v>0</v>
      </c>
      <c r="I561" s="41">
        <f>REGISTRO_B.DATOS!I562</f>
        <v>0</v>
      </c>
      <c r="J561" s="41">
        <f>REGISTRO_B.DATOS!J562</f>
        <v>0</v>
      </c>
      <c r="K561" s="43">
        <f>REGISTRO_B.DATOS!K562</f>
        <v>0</v>
      </c>
    </row>
    <row r="562" spans="1:11" x14ac:dyDescent="0.25">
      <c r="A562" s="40">
        <f>REGISTRO_B.DATOS!A563</f>
        <v>0</v>
      </c>
      <c r="B562" s="41">
        <f>REGISTRO_B.DATOS!B563</f>
        <v>0</v>
      </c>
      <c r="C562" s="41">
        <f>REGISTRO_B.DATOS!C563</f>
        <v>0</v>
      </c>
      <c r="D562" s="41">
        <f>REGISTRO_B.DATOS!D563</f>
        <v>0</v>
      </c>
      <c r="E562" s="42">
        <f>REGISTRO_B.DATOS!E563</f>
        <v>0</v>
      </c>
      <c r="F562" s="41">
        <f>REGISTRO_B.DATOS!F563</f>
        <v>0</v>
      </c>
      <c r="G562" s="41">
        <f>REGISTRO_B.DATOS!G563</f>
        <v>0</v>
      </c>
      <c r="H562" s="41">
        <f>REGISTRO_B.DATOS!H563</f>
        <v>0</v>
      </c>
      <c r="I562" s="41">
        <f>REGISTRO_B.DATOS!I563</f>
        <v>0</v>
      </c>
      <c r="J562" s="41">
        <f>REGISTRO_B.DATOS!J563</f>
        <v>0</v>
      </c>
      <c r="K562" s="43">
        <f>REGISTRO_B.DATOS!K563</f>
        <v>0</v>
      </c>
    </row>
    <row r="563" spans="1:11" x14ac:dyDescent="0.25">
      <c r="A563" s="40">
        <f>REGISTRO_B.DATOS!A564</f>
        <v>0</v>
      </c>
      <c r="B563" s="41">
        <f>REGISTRO_B.DATOS!B564</f>
        <v>0</v>
      </c>
      <c r="C563" s="41">
        <f>REGISTRO_B.DATOS!C564</f>
        <v>0</v>
      </c>
      <c r="D563" s="41">
        <f>REGISTRO_B.DATOS!D564</f>
        <v>0</v>
      </c>
      <c r="E563" s="42">
        <f>REGISTRO_B.DATOS!E564</f>
        <v>0</v>
      </c>
      <c r="F563" s="41">
        <f>REGISTRO_B.DATOS!F564</f>
        <v>0</v>
      </c>
      <c r="G563" s="41">
        <f>REGISTRO_B.DATOS!G564</f>
        <v>0</v>
      </c>
      <c r="H563" s="41">
        <f>REGISTRO_B.DATOS!H564</f>
        <v>0</v>
      </c>
      <c r="I563" s="41">
        <f>REGISTRO_B.DATOS!I564</f>
        <v>0</v>
      </c>
      <c r="J563" s="41">
        <f>REGISTRO_B.DATOS!J564</f>
        <v>0</v>
      </c>
      <c r="K563" s="43">
        <f>REGISTRO_B.DATOS!K564</f>
        <v>0</v>
      </c>
    </row>
    <row r="564" spans="1:11" x14ac:dyDescent="0.25">
      <c r="A564" s="40">
        <f>REGISTRO_B.DATOS!A565</f>
        <v>0</v>
      </c>
      <c r="B564" s="41">
        <f>REGISTRO_B.DATOS!B565</f>
        <v>0</v>
      </c>
      <c r="C564" s="41">
        <f>REGISTRO_B.DATOS!C565</f>
        <v>0</v>
      </c>
      <c r="D564" s="41">
        <f>REGISTRO_B.DATOS!D565</f>
        <v>0</v>
      </c>
      <c r="E564" s="42">
        <f>REGISTRO_B.DATOS!E565</f>
        <v>0</v>
      </c>
      <c r="F564" s="41">
        <f>REGISTRO_B.DATOS!F565</f>
        <v>0</v>
      </c>
      <c r="G564" s="41">
        <f>REGISTRO_B.DATOS!G565</f>
        <v>0</v>
      </c>
      <c r="H564" s="41">
        <f>REGISTRO_B.DATOS!H565</f>
        <v>0</v>
      </c>
      <c r="I564" s="41">
        <f>REGISTRO_B.DATOS!I565</f>
        <v>0</v>
      </c>
      <c r="J564" s="41">
        <f>REGISTRO_B.DATOS!J565</f>
        <v>0</v>
      </c>
      <c r="K564" s="43">
        <f>REGISTRO_B.DATOS!K565</f>
        <v>0</v>
      </c>
    </row>
    <row r="565" spans="1:11" x14ac:dyDescent="0.25">
      <c r="A565" s="40">
        <f>REGISTRO_B.DATOS!A566</f>
        <v>0</v>
      </c>
      <c r="B565" s="41">
        <f>REGISTRO_B.DATOS!B566</f>
        <v>0</v>
      </c>
      <c r="C565" s="41">
        <f>REGISTRO_B.DATOS!C566</f>
        <v>0</v>
      </c>
      <c r="D565" s="41">
        <f>REGISTRO_B.DATOS!D566</f>
        <v>0</v>
      </c>
      <c r="E565" s="42">
        <f>REGISTRO_B.DATOS!E566</f>
        <v>0</v>
      </c>
      <c r="F565" s="41">
        <f>REGISTRO_B.DATOS!F566</f>
        <v>0</v>
      </c>
      <c r="G565" s="41">
        <f>REGISTRO_B.DATOS!G566</f>
        <v>0</v>
      </c>
      <c r="H565" s="41">
        <f>REGISTRO_B.DATOS!H566</f>
        <v>0</v>
      </c>
      <c r="I565" s="41">
        <f>REGISTRO_B.DATOS!I566</f>
        <v>0</v>
      </c>
      <c r="J565" s="41">
        <f>REGISTRO_B.DATOS!J566</f>
        <v>0</v>
      </c>
      <c r="K565" s="43">
        <f>REGISTRO_B.DATOS!K566</f>
        <v>0</v>
      </c>
    </row>
    <row r="566" spans="1:11" x14ac:dyDescent="0.25">
      <c r="A566" s="40">
        <f>REGISTRO_B.DATOS!A567</f>
        <v>0</v>
      </c>
      <c r="B566" s="41">
        <f>REGISTRO_B.DATOS!B567</f>
        <v>0</v>
      </c>
      <c r="C566" s="41">
        <f>REGISTRO_B.DATOS!C567</f>
        <v>0</v>
      </c>
      <c r="D566" s="41">
        <f>REGISTRO_B.DATOS!D567</f>
        <v>0</v>
      </c>
      <c r="E566" s="42">
        <f>REGISTRO_B.DATOS!E567</f>
        <v>0</v>
      </c>
      <c r="F566" s="41">
        <f>REGISTRO_B.DATOS!F567</f>
        <v>0</v>
      </c>
      <c r="G566" s="41">
        <f>REGISTRO_B.DATOS!G567</f>
        <v>0</v>
      </c>
      <c r="H566" s="41">
        <f>REGISTRO_B.DATOS!H567</f>
        <v>0</v>
      </c>
      <c r="I566" s="41">
        <f>REGISTRO_B.DATOS!I567</f>
        <v>0</v>
      </c>
      <c r="J566" s="41">
        <f>REGISTRO_B.DATOS!J567</f>
        <v>0</v>
      </c>
      <c r="K566" s="43">
        <f>REGISTRO_B.DATOS!K567</f>
        <v>0</v>
      </c>
    </row>
    <row r="567" spans="1:11" x14ac:dyDescent="0.25">
      <c r="A567" s="40">
        <f>REGISTRO_B.DATOS!A568</f>
        <v>0</v>
      </c>
      <c r="B567" s="41">
        <f>REGISTRO_B.DATOS!B568</f>
        <v>0</v>
      </c>
      <c r="C567" s="41">
        <f>REGISTRO_B.DATOS!C568</f>
        <v>0</v>
      </c>
      <c r="D567" s="41">
        <f>REGISTRO_B.DATOS!D568</f>
        <v>0</v>
      </c>
      <c r="E567" s="42">
        <f>REGISTRO_B.DATOS!E568</f>
        <v>0</v>
      </c>
      <c r="F567" s="41">
        <f>REGISTRO_B.DATOS!F568</f>
        <v>0</v>
      </c>
      <c r="G567" s="41">
        <f>REGISTRO_B.DATOS!G568</f>
        <v>0</v>
      </c>
      <c r="H567" s="41">
        <f>REGISTRO_B.DATOS!H568</f>
        <v>0</v>
      </c>
      <c r="I567" s="41">
        <f>REGISTRO_B.DATOS!I568</f>
        <v>0</v>
      </c>
      <c r="J567" s="41">
        <f>REGISTRO_B.DATOS!J568</f>
        <v>0</v>
      </c>
      <c r="K567" s="43">
        <f>REGISTRO_B.DATOS!K568</f>
        <v>0</v>
      </c>
    </row>
    <row r="568" spans="1:11" x14ac:dyDescent="0.25">
      <c r="A568" s="40">
        <f>REGISTRO_B.DATOS!A569</f>
        <v>0</v>
      </c>
      <c r="B568" s="41">
        <f>REGISTRO_B.DATOS!B569</f>
        <v>0</v>
      </c>
      <c r="C568" s="41">
        <f>REGISTRO_B.DATOS!C569</f>
        <v>0</v>
      </c>
      <c r="D568" s="41">
        <f>REGISTRO_B.DATOS!D569</f>
        <v>0</v>
      </c>
      <c r="E568" s="42">
        <f>REGISTRO_B.DATOS!E569</f>
        <v>0</v>
      </c>
      <c r="F568" s="41">
        <f>REGISTRO_B.DATOS!F569</f>
        <v>0</v>
      </c>
      <c r="G568" s="41">
        <f>REGISTRO_B.DATOS!G569</f>
        <v>0</v>
      </c>
      <c r="H568" s="41">
        <f>REGISTRO_B.DATOS!H569</f>
        <v>0</v>
      </c>
      <c r="I568" s="41">
        <f>REGISTRO_B.DATOS!I569</f>
        <v>0</v>
      </c>
      <c r="J568" s="41">
        <f>REGISTRO_B.DATOS!J569</f>
        <v>0</v>
      </c>
      <c r="K568" s="43">
        <f>REGISTRO_B.DATOS!K569</f>
        <v>0</v>
      </c>
    </row>
    <row r="569" spans="1:11" x14ac:dyDescent="0.25">
      <c r="A569" s="40">
        <f>REGISTRO_B.DATOS!A570</f>
        <v>0</v>
      </c>
      <c r="B569" s="41">
        <f>REGISTRO_B.DATOS!B570</f>
        <v>0</v>
      </c>
      <c r="C569" s="41">
        <f>REGISTRO_B.DATOS!C570</f>
        <v>0</v>
      </c>
      <c r="D569" s="41">
        <f>REGISTRO_B.DATOS!D570</f>
        <v>0</v>
      </c>
      <c r="E569" s="42">
        <f>REGISTRO_B.DATOS!E570</f>
        <v>0</v>
      </c>
      <c r="F569" s="41">
        <f>REGISTRO_B.DATOS!F570</f>
        <v>0</v>
      </c>
      <c r="G569" s="41">
        <f>REGISTRO_B.DATOS!G570</f>
        <v>0</v>
      </c>
      <c r="H569" s="41">
        <f>REGISTRO_B.DATOS!H570</f>
        <v>0</v>
      </c>
      <c r="I569" s="41">
        <f>REGISTRO_B.DATOS!I570</f>
        <v>0</v>
      </c>
      <c r="J569" s="41">
        <f>REGISTRO_B.DATOS!J570</f>
        <v>0</v>
      </c>
      <c r="K569" s="43">
        <f>REGISTRO_B.DATOS!K570</f>
        <v>0</v>
      </c>
    </row>
    <row r="570" spans="1:11" x14ac:dyDescent="0.25">
      <c r="A570" s="40">
        <f>REGISTRO_B.DATOS!A571</f>
        <v>0</v>
      </c>
      <c r="B570" s="41">
        <f>REGISTRO_B.DATOS!B571</f>
        <v>0</v>
      </c>
      <c r="C570" s="41">
        <f>REGISTRO_B.DATOS!C571</f>
        <v>0</v>
      </c>
      <c r="D570" s="41">
        <f>REGISTRO_B.DATOS!D571</f>
        <v>0</v>
      </c>
      <c r="E570" s="42">
        <f>REGISTRO_B.DATOS!E571</f>
        <v>0</v>
      </c>
      <c r="F570" s="41">
        <f>REGISTRO_B.DATOS!F571</f>
        <v>0</v>
      </c>
      <c r="G570" s="41">
        <f>REGISTRO_B.DATOS!G571</f>
        <v>0</v>
      </c>
      <c r="H570" s="41">
        <f>REGISTRO_B.DATOS!H571</f>
        <v>0</v>
      </c>
      <c r="I570" s="41">
        <f>REGISTRO_B.DATOS!I571</f>
        <v>0</v>
      </c>
      <c r="J570" s="41">
        <f>REGISTRO_B.DATOS!J571</f>
        <v>0</v>
      </c>
      <c r="K570" s="43">
        <f>REGISTRO_B.DATOS!K571</f>
        <v>0</v>
      </c>
    </row>
    <row r="571" spans="1:11" x14ac:dyDescent="0.25">
      <c r="A571" s="40">
        <f>REGISTRO_B.DATOS!A572</f>
        <v>0</v>
      </c>
      <c r="B571" s="41">
        <f>REGISTRO_B.DATOS!B572</f>
        <v>0</v>
      </c>
      <c r="C571" s="41">
        <f>REGISTRO_B.DATOS!C572</f>
        <v>0</v>
      </c>
      <c r="D571" s="41">
        <f>REGISTRO_B.DATOS!D572</f>
        <v>0</v>
      </c>
      <c r="E571" s="42">
        <f>REGISTRO_B.DATOS!E572</f>
        <v>0</v>
      </c>
      <c r="F571" s="41">
        <f>REGISTRO_B.DATOS!F572</f>
        <v>0</v>
      </c>
      <c r="G571" s="41">
        <f>REGISTRO_B.DATOS!G572</f>
        <v>0</v>
      </c>
      <c r="H571" s="41">
        <f>REGISTRO_B.DATOS!H572</f>
        <v>0</v>
      </c>
      <c r="I571" s="41">
        <f>REGISTRO_B.DATOS!I572</f>
        <v>0</v>
      </c>
      <c r="J571" s="41">
        <f>REGISTRO_B.DATOS!J572</f>
        <v>0</v>
      </c>
      <c r="K571" s="43">
        <f>REGISTRO_B.DATOS!K572</f>
        <v>0</v>
      </c>
    </row>
    <row r="572" spans="1:11" x14ac:dyDescent="0.25">
      <c r="A572" s="40">
        <f>REGISTRO_B.DATOS!A573</f>
        <v>0</v>
      </c>
      <c r="B572" s="41">
        <f>REGISTRO_B.DATOS!B573</f>
        <v>0</v>
      </c>
      <c r="C572" s="41">
        <f>REGISTRO_B.DATOS!C573</f>
        <v>0</v>
      </c>
      <c r="D572" s="41">
        <f>REGISTRO_B.DATOS!D573</f>
        <v>0</v>
      </c>
      <c r="E572" s="42">
        <f>REGISTRO_B.DATOS!E573</f>
        <v>0</v>
      </c>
      <c r="F572" s="41">
        <f>REGISTRO_B.DATOS!F573</f>
        <v>0</v>
      </c>
      <c r="G572" s="41">
        <f>REGISTRO_B.DATOS!G573</f>
        <v>0</v>
      </c>
      <c r="H572" s="41">
        <f>REGISTRO_B.DATOS!H573</f>
        <v>0</v>
      </c>
      <c r="I572" s="41">
        <f>REGISTRO_B.DATOS!I573</f>
        <v>0</v>
      </c>
      <c r="J572" s="41">
        <f>REGISTRO_B.DATOS!J573</f>
        <v>0</v>
      </c>
      <c r="K572" s="43">
        <f>REGISTRO_B.DATOS!K573</f>
        <v>0</v>
      </c>
    </row>
    <row r="573" spans="1:11" x14ac:dyDescent="0.25">
      <c r="A573" s="40">
        <f>REGISTRO_B.DATOS!A574</f>
        <v>0</v>
      </c>
      <c r="B573" s="41">
        <f>REGISTRO_B.DATOS!B574</f>
        <v>0</v>
      </c>
      <c r="C573" s="41">
        <f>REGISTRO_B.DATOS!C574</f>
        <v>0</v>
      </c>
      <c r="D573" s="41">
        <f>REGISTRO_B.DATOS!D574</f>
        <v>0</v>
      </c>
      <c r="E573" s="42">
        <f>REGISTRO_B.DATOS!E574</f>
        <v>0</v>
      </c>
      <c r="F573" s="41">
        <f>REGISTRO_B.DATOS!F574</f>
        <v>0</v>
      </c>
      <c r="G573" s="41">
        <f>REGISTRO_B.DATOS!G574</f>
        <v>0</v>
      </c>
      <c r="H573" s="41">
        <f>REGISTRO_B.DATOS!H574</f>
        <v>0</v>
      </c>
      <c r="I573" s="41">
        <f>REGISTRO_B.DATOS!I574</f>
        <v>0</v>
      </c>
      <c r="J573" s="41">
        <f>REGISTRO_B.DATOS!J574</f>
        <v>0</v>
      </c>
      <c r="K573" s="43">
        <f>REGISTRO_B.DATOS!K574</f>
        <v>0</v>
      </c>
    </row>
    <row r="574" spans="1:11" x14ac:dyDescent="0.25">
      <c r="A574" s="40">
        <f>REGISTRO_B.DATOS!A575</f>
        <v>0</v>
      </c>
      <c r="B574" s="41">
        <f>REGISTRO_B.DATOS!B575</f>
        <v>0</v>
      </c>
      <c r="C574" s="41">
        <f>REGISTRO_B.DATOS!C575</f>
        <v>0</v>
      </c>
      <c r="D574" s="41">
        <f>REGISTRO_B.DATOS!D575</f>
        <v>0</v>
      </c>
      <c r="E574" s="42">
        <f>REGISTRO_B.DATOS!E575</f>
        <v>0</v>
      </c>
      <c r="F574" s="41">
        <f>REGISTRO_B.DATOS!F575</f>
        <v>0</v>
      </c>
      <c r="G574" s="41">
        <f>REGISTRO_B.DATOS!G575</f>
        <v>0</v>
      </c>
      <c r="H574" s="41">
        <f>REGISTRO_B.DATOS!H575</f>
        <v>0</v>
      </c>
      <c r="I574" s="41">
        <f>REGISTRO_B.DATOS!I575</f>
        <v>0</v>
      </c>
      <c r="J574" s="41">
        <f>REGISTRO_B.DATOS!J575</f>
        <v>0</v>
      </c>
      <c r="K574" s="43">
        <f>REGISTRO_B.DATOS!K575</f>
        <v>0</v>
      </c>
    </row>
    <row r="575" spans="1:11" x14ac:dyDescent="0.25">
      <c r="A575" s="40">
        <f>REGISTRO_B.DATOS!A576</f>
        <v>0</v>
      </c>
      <c r="B575" s="41">
        <f>REGISTRO_B.DATOS!B576</f>
        <v>0</v>
      </c>
      <c r="C575" s="41">
        <f>REGISTRO_B.DATOS!C576</f>
        <v>0</v>
      </c>
      <c r="D575" s="41">
        <f>REGISTRO_B.DATOS!D576</f>
        <v>0</v>
      </c>
      <c r="E575" s="42">
        <f>REGISTRO_B.DATOS!E576</f>
        <v>0</v>
      </c>
      <c r="F575" s="41">
        <f>REGISTRO_B.DATOS!F576</f>
        <v>0</v>
      </c>
      <c r="G575" s="41">
        <f>REGISTRO_B.DATOS!G576</f>
        <v>0</v>
      </c>
      <c r="H575" s="41">
        <f>REGISTRO_B.DATOS!H576</f>
        <v>0</v>
      </c>
      <c r="I575" s="41">
        <f>REGISTRO_B.DATOS!I576</f>
        <v>0</v>
      </c>
      <c r="J575" s="41">
        <f>REGISTRO_B.DATOS!J576</f>
        <v>0</v>
      </c>
      <c r="K575" s="43">
        <f>REGISTRO_B.DATOS!K576</f>
        <v>0</v>
      </c>
    </row>
    <row r="576" spans="1:11" x14ac:dyDescent="0.25">
      <c r="A576" s="40">
        <f>REGISTRO_B.DATOS!A577</f>
        <v>0</v>
      </c>
      <c r="B576" s="41">
        <f>REGISTRO_B.DATOS!B577</f>
        <v>0</v>
      </c>
      <c r="C576" s="41">
        <f>REGISTRO_B.DATOS!C577</f>
        <v>0</v>
      </c>
      <c r="D576" s="41">
        <f>REGISTRO_B.DATOS!D577</f>
        <v>0</v>
      </c>
      <c r="E576" s="42">
        <f>REGISTRO_B.DATOS!E577</f>
        <v>0</v>
      </c>
      <c r="F576" s="41">
        <f>REGISTRO_B.DATOS!F577</f>
        <v>0</v>
      </c>
      <c r="G576" s="41">
        <f>REGISTRO_B.DATOS!G577</f>
        <v>0</v>
      </c>
      <c r="H576" s="41">
        <f>REGISTRO_B.DATOS!H577</f>
        <v>0</v>
      </c>
      <c r="I576" s="41">
        <f>REGISTRO_B.DATOS!I577</f>
        <v>0</v>
      </c>
      <c r="J576" s="41">
        <f>REGISTRO_B.DATOS!J577</f>
        <v>0</v>
      </c>
      <c r="K576" s="43">
        <f>REGISTRO_B.DATOS!K577</f>
        <v>0</v>
      </c>
    </row>
    <row r="577" spans="1:11" x14ac:dyDescent="0.25">
      <c r="A577" s="40">
        <f>REGISTRO_B.DATOS!A578</f>
        <v>0</v>
      </c>
      <c r="B577" s="41">
        <f>REGISTRO_B.DATOS!B578</f>
        <v>0</v>
      </c>
      <c r="C577" s="41">
        <f>REGISTRO_B.DATOS!C578</f>
        <v>0</v>
      </c>
      <c r="D577" s="41">
        <f>REGISTRO_B.DATOS!D578</f>
        <v>0</v>
      </c>
      <c r="E577" s="42">
        <f>REGISTRO_B.DATOS!E578</f>
        <v>0</v>
      </c>
      <c r="F577" s="41">
        <f>REGISTRO_B.DATOS!F578</f>
        <v>0</v>
      </c>
      <c r="G577" s="41">
        <f>REGISTRO_B.DATOS!G578</f>
        <v>0</v>
      </c>
      <c r="H577" s="41">
        <f>REGISTRO_B.DATOS!H578</f>
        <v>0</v>
      </c>
      <c r="I577" s="41">
        <f>REGISTRO_B.DATOS!I578</f>
        <v>0</v>
      </c>
      <c r="J577" s="41">
        <f>REGISTRO_B.DATOS!J578</f>
        <v>0</v>
      </c>
      <c r="K577" s="43">
        <f>REGISTRO_B.DATOS!K578</f>
        <v>0</v>
      </c>
    </row>
    <row r="578" spans="1:11" x14ac:dyDescent="0.25">
      <c r="A578" s="40">
        <f>REGISTRO_B.DATOS!A579</f>
        <v>0</v>
      </c>
      <c r="B578" s="41">
        <f>REGISTRO_B.DATOS!B579</f>
        <v>0</v>
      </c>
      <c r="C578" s="41">
        <f>REGISTRO_B.DATOS!C579</f>
        <v>0</v>
      </c>
      <c r="D578" s="41">
        <f>REGISTRO_B.DATOS!D579</f>
        <v>0</v>
      </c>
      <c r="E578" s="42">
        <f>REGISTRO_B.DATOS!E579</f>
        <v>0</v>
      </c>
      <c r="F578" s="41">
        <f>REGISTRO_B.DATOS!F579</f>
        <v>0</v>
      </c>
      <c r="G578" s="41">
        <f>REGISTRO_B.DATOS!G579</f>
        <v>0</v>
      </c>
      <c r="H578" s="41">
        <f>REGISTRO_B.DATOS!H579</f>
        <v>0</v>
      </c>
      <c r="I578" s="41">
        <f>REGISTRO_B.DATOS!I579</f>
        <v>0</v>
      </c>
      <c r="J578" s="41">
        <f>REGISTRO_B.DATOS!J579</f>
        <v>0</v>
      </c>
      <c r="K578" s="43">
        <f>REGISTRO_B.DATOS!K579</f>
        <v>0</v>
      </c>
    </row>
    <row r="579" spans="1:11" x14ac:dyDescent="0.25">
      <c r="A579" s="40">
        <f>REGISTRO_B.DATOS!A580</f>
        <v>0</v>
      </c>
      <c r="B579" s="41">
        <f>REGISTRO_B.DATOS!B580</f>
        <v>0</v>
      </c>
      <c r="C579" s="41">
        <f>REGISTRO_B.DATOS!C580</f>
        <v>0</v>
      </c>
      <c r="D579" s="41">
        <f>REGISTRO_B.DATOS!D580</f>
        <v>0</v>
      </c>
      <c r="E579" s="42">
        <f>REGISTRO_B.DATOS!E580</f>
        <v>0</v>
      </c>
      <c r="F579" s="41">
        <f>REGISTRO_B.DATOS!F580</f>
        <v>0</v>
      </c>
      <c r="G579" s="41">
        <f>REGISTRO_B.DATOS!G580</f>
        <v>0</v>
      </c>
      <c r="H579" s="41">
        <f>REGISTRO_B.DATOS!H580</f>
        <v>0</v>
      </c>
      <c r="I579" s="41">
        <f>REGISTRO_B.DATOS!I580</f>
        <v>0</v>
      </c>
      <c r="J579" s="41">
        <f>REGISTRO_B.DATOS!J580</f>
        <v>0</v>
      </c>
      <c r="K579" s="43">
        <f>REGISTRO_B.DATOS!K580</f>
        <v>0</v>
      </c>
    </row>
    <row r="580" spans="1:11" x14ac:dyDescent="0.25">
      <c r="A580" s="40">
        <f>REGISTRO_B.DATOS!A581</f>
        <v>0</v>
      </c>
      <c r="B580" s="41">
        <f>REGISTRO_B.DATOS!B581</f>
        <v>0</v>
      </c>
      <c r="C580" s="41">
        <f>REGISTRO_B.DATOS!C581</f>
        <v>0</v>
      </c>
      <c r="D580" s="41">
        <f>REGISTRO_B.DATOS!D581</f>
        <v>0</v>
      </c>
      <c r="E580" s="42">
        <f>REGISTRO_B.DATOS!E581</f>
        <v>0</v>
      </c>
      <c r="F580" s="41">
        <f>REGISTRO_B.DATOS!F581</f>
        <v>0</v>
      </c>
      <c r="G580" s="41">
        <f>REGISTRO_B.DATOS!G581</f>
        <v>0</v>
      </c>
      <c r="H580" s="41">
        <f>REGISTRO_B.DATOS!H581</f>
        <v>0</v>
      </c>
      <c r="I580" s="41">
        <f>REGISTRO_B.DATOS!I581</f>
        <v>0</v>
      </c>
      <c r="J580" s="41">
        <f>REGISTRO_B.DATOS!J581</f>
        <v>0</v>
      </c>
      <c r="K580" s="43">
        <f>REGISTRO_B.DATOS!K581</f>
        <v>0</v>
      </c>
    </row>
    <row r="581" spans="1:11" x14ac:dyDescent="0.25">
      <c r="A581" s="40">
        <f>REGISTRO_B.DATOS!A582</f>
        <v>0</v>
      </c>
      <c r="B581" s="41">
        <f>REGISTRO_B.DATOS!B582</f>
        <v>0</v>
      </c>
      <c r="C581" s="41">
        <f>REGISTRO_B.DATOS!C582</f>
        <v>0</v>
      </c>
      <c r="D581" s="41">
        <f>REGISTRO_B.DATOS!D582</f>
        <v>0</v>
      </c>
      <c r="E581" s="42">
        <f>REGISTRO_B.DATOS!E582</f>
        <v>0</v>
      </c>
      <c r="F581" s="41">
        <f>REGISTRO_B.DATOS!F582</f>
        <v>0</v>
      </c>
      <c r="G581" s="41">
        <f>REGISTRO_B.DATOS!G582</f>
        <v>0</v>
      </c>
      <c r="H581" s="41">
        <f>REGISTRO_B.DATOS!H582</f>
        <v>0</v>
      </c>
      <c r="I581" s="41">
        <f>REGISTRO_B.DATOS!I582</f>
        <v>0</v>
      </c>
      <c r="J581" s="41">
        <f>REGISTRO_B.DATOS!J582</f>
        <v>0</v>
      </c>
      <c r="K581" s="43">
        <f>REGISTRO_B.DATOS!K582</f>
        <v>0</v>
      </c>
    </row>
    <row r="582" spans="1:11" x14ac:dyDescent="0.25">
      <c r="A582" s="40">
        <f>REGISTRO_B.DATOS!A583</f>
        <v>0</v>
      </c>
      <c r="B582" s="41">
        <f>REGISTRO_B.DATOS!B583</f>
        <v>0</v>
      </c>
      <c r="C582" s="41">
        <f>REGISTRO_B.DATOS!C583</f>
        <v>0</v>
      </c>
      <c r="D582" s="41">
        <f>REGISTRO_B.DATOS!D583</f>
        <v>0</v>
      </c>
      <c r="E582" s="42">
        <f>REGISTRO_B.DATOS!E583</f>
        <v>0</v>
      </c>
      <c r="F582" s="41">
        <f>REGISTRO_B.DATOS!F583</f>
        <v>0</v>
      </c>
      <c r="G582" s="41">
        <f>REGISTRO_B.DATOS!G583</f>
        <v>0</v>
      </c>
      <c r="H582" s="41">
        <f>REGISTRO_B.DATOS!H583</f>
        <v>0</v>
      </c>
      <c r="I582" s="41">
        <f>REGISTRO_B.DATOS!I583</f>
        <v>0</v>
      </c>
      <c r="J582" s="41">
        <f>REGISTRO_B.DATOS!J583</f>
        <v>0</v>
      </c>
      <c r="K582" s="43">
        <f>REGISTRO_B.DATOS!K583</f>
        <v>0</v>
      </c>
    </row>
    <row r="583" spans="1:11" x14ac:dyDescent="0.25">
      <c r="A583" s="40">
        <f>REGISTRO_B.DATOS!A584</f>
        <v>0</v>
      </c>
      <c r="B583" s="41">
        <f>REGISTRO_B.DATOS!B584</f>
        <v>0</v>
      </c>
      <c r="C583" s="41">
        <f>REGISTRO_B.DATOS!C584</f>
        <v>0</v>
      </c>
      <c r="D583" s="41">
        <f>REGISTRO_B.DATOS!D584</f>
        <v>0</v>
      </c>
      <c r="E583" s="42">
        <f>REGISTRO_B.DATOS!E584</f>
        <v>0</v>
      </c>
      <c r="F583" s="41">
        <f>REGISTRO_B.DATOS!F584</f>
        <v>0</v>
      </c>
      <c r="G583" s="41">
        <f>REGISTRO_B.DATOS!G584</f>
        <v>0</v>
      </c>
      <c r="H583" s="41">
        <f>REGISTRO_B.DATOS!H584</f>
        <v>0</v>
      </c>
      <c r="I583" s="41">
        <f>REGISTRO_B.DATOS!I584</f>
        <v>0</v>
      </c>
      <c r="J583" s="41">
        <f>REGISTRO_B.DATOS!J584</f>
        <v>0</v>
      </c>
      <c r="K583" s="43">
        <f>REGISTRO_B.DATOS!K584</f>
        <v>0</v>
      </c>
    </row>
    <row r="584" spans="1:11" x14ac:dyDescent="0.25">
      <c r="A584" s="40">
        <f>REGISTRO_B.DATOS!A585</f>
        <v>0</v>
      </c>
      <c r="B584" s="41">
        <f>REGISTRO_B.DATOS!B585</f>
        <v>0</v>
      </c>
      <c r="C584" s="41">
        <f>REGISTRO_B.DATOS!C585</f>
        <v>0</v>
      </c>
      <c r="D584" s="41">
        <f>REGISTRO_B.DATOS!D585</f>
        <v>0</v>
      </c>
      <c r="E584" s="42">
        <f>REGISTRO_B.DATOS!E585</f>
        <v>0</v>
      </c>
      <c r="F584" s="41">
        <f>REGISTRO_B.DATOS!F585</f>
        <v>0</v>
      </c>
      <c r="G584" s="41">
        <f>REGISTRO_B.DATOS!G585</f>
        <v>0</v>
      </c>
      <c r="H584" s="41">
        <f>REGISTRO_B.DATOS!H585</f>
        <v>0</v>
      </c>
      <c r="I584" s="41">
        <f>REGISTRO_B.DATOS!I585</f>
        <v>0</v>
      </c>
      <c r="J584" s="41">
        <f>REGISTRO_B.DATOS!J585</f>
        <v>0</v>
      </c>
      <c r="K584" s="43">
        <f>REGISTRO_B.DATOS!K585</f>
        <v>0</v>
      </c>
    </row>
    <row r="585" spans="1:11" x14ac:dyDescent="0.25">
      <c r="A585" s="40">
        <f>REGISTRO_B.DATOS!A586</f>
        <v>0</v>
      </c>
      <c r="B585" s="41">
        <f>REGISTRO_B.DATOS!B586</f>
        <v>0</v>
      </c>
      <c r="C585" s="41">
        <f>REGISTRO_B.DATOS!C586</f>
        <v>0</v>
      </c>
      <c r="D585" s="41">
        <f>REGISTRO_B.DATOS!D586</f>
        <v>0</v>
      </c>
      <c r="E585" s="42">
        <f>REGISTRO_B.DATOS!E586</f>
        <v>0</v>
      </c>
      <c r="F585" s="41">
        <f>REGISTRO_B.DATOS!F586</f>
        <v>0</v>
      </c>
      <c r="G585" s="41">
        <f>REGISTRO_B.DATOS!G586</f>
        <v>0</v>
      </c>
      <c r="H585" s="41">
        <f>REGISTRO_B.DATOS!H586</f>
        <v>0</v>
      </c>
      <c r="I585" s="41">
        <f>REGISTRO_B.DATOS!I586</f>
        <v>0</v>
      </c>
      <c r="J585" s="41">
        <f>REGISTRO_B.DATOS!J586</f>
        <v>0</v>
      </c>
      <c r="K585" s="43">
        <f>REGISTRO_B.DATOS!K586</f>
        <v>0</v>
      </c>
    </row>
    <row r="586" spans="1:11" x14ac:dyDescent="0.25">
      <c r="A586" s="40">
        <f>REGISTRO_B.DATOS!A587</f>
        <v>0</v>
      </c>
      <c r="B586" s="41">
        <f>REGISTRO_B.DATOS!B587</f>
        <v>0</v>
      </c>
      <c r="C586" s="41">
        <f>REGISTRO_B.DATOS!C587</f>
        <v>0</v>
      </c>
      <c r="D586" s="41">
        <f>REGISTRO_B.DATOS!D587</f>
        <v>0</v>
      </c>
      <c r="E586" s="42">
        <f>REGISTRO_B.DATOS!E587</f>
        <v>0</v>
      </c>
      <c r="F586" s="41">
        <f>REGISTRO_B.DATOS!F587</f>
        <v>0</v>
      </c>
      <c r="G586" s="41">
        <f>REGISTRO_B.DATOS!G587</f>
        <v>0</v>
      </c>
      <c r="H586" s="41">
        <f>REGISTRO_B.DATOS!H587</f>
        <v>0</v>
      </c>
      <c r="I586" s="41">
        <f>REGISTRO_B.DATOS!I587</f>
        <v>0</v>
      </c>
      <c r="J586" s="41">
        <f>REGISTRO_B.DATOS!J587</f>
        <v>0</v>
      </c>
      <c r="K586" s="43">
        <f>REGISTRO_B.DATOS!K587</f>
        <v>0</v>
      </c>
    </row>
    <row r="587" spans="1:11" x14ac:dyDescent="0.25">
      <c r="A587" s="40">
        <f>REGISTRO_B.DATOS!A588</f>
        <v>0</v>
      </c>
      <c r="B587" s="41">
        <f>REGISTRO_B.DATOS!B588</f>
        <v>0</v>
      </c>
      <c r="C587" s="41">
        <f>REGISTRO_B.DATOS!C588</f>
        <v>0</v>
      </c>
      <c r="D587" s="41">
        <f>REGISTRO_B.DATOS!D588</f>
        <v>0</v>
      </c>
      <c r="E587" s="42">
        <f>REGISTRO_B.DATOS!E588</f>
        <v>0</v>
      </c>
      <c r="F587" s="41">
        <f>REGISTRO_B.DATOS!F588</f>
        <v>0</v>
      </c>
      <c r="G587" s="41">
        <f>REGISTRO_B.DATOS!G588</f>
        <v>0</v>
      </c>
      <c r="H587" s="41">
        <f>REGISTRO_B.DATOS!H588</f>
        <v>0</v>
      </c>
      <c r="I587" s="41">
        <f>REGISTRO_B.DATOS!I588</f>
        <v>0</v>
      </c>
      <c r="J587" s="41">
        <f>REGISTRO_B.DATOS!J588</f>
        <v>0</v>
      </c>
      <c r="K587" s="43">
        <f>REGISTRO_B.DATOS!K588</f>
        <v>0</v>
      </c>
    </row>
    <row r="588" spans="1:11" x14ac:dyDescent="0.25">
      <c r="A588" s="40">
        <f>REGISTRO_B.DATOS!A589</f>
        <v>0</v>
      </c>
      <c r="B588" s="41">
        <f>REGISTRO_B.DATOS!B589</f>
        <v>0</v>
      </c>
      <c r="C588" s="41">
        <f>REGISTRO_B.DATOS!C589</f>
        <v>0</v>
      </c>
      <c r="D588" s="41">
        <f>REGISTRO_B.DATOS!D589</f>
        <v>0</v>
      </c>
      <c r="E588" s="42">
        <f>REGISTRO_B.DATOS!E589</f>
        <v>0</v>
      </c>
      <c r="F588" s="41">
        <f>REGISTRO_B.DATOS!F589</f>
        <v>0</v>
      </c>
      <c r="G588" s="41">
        <f>REGISTRO_B.DATOS!G589</f>
        <v>0</v>
      </c>
      <c r="H588" s="41">
        <f>REGISTRO_B.DATOS!H589</f>
        <v>0</v>
      </c>
      <c r="I588" s="41">
        <f>REGISTRO_B.DATOS!I589</f>
        <v>0</v>
      </c>
      <c r="J588" s="41">
        <f>REGISTRO_B.DATOS!J589</f>
        <v>0</v>
      </c>
      <c r="K588" s="43">
        <f>REGISTRO_B.DATOS!K589</f>
        <v>0</v>
      </c>
    </row>
    <row r="589" spans="1:11" x14ac:dyDescent="0.25">
      <c r="A589" s="40">
        <f>REGISTRO_B.DATOS!A590</f>
        <v>0</v>
      </c>
      <c r="B589" s="41">
        <f>REGISTRO_B.DATOS!B590</f>
        <v>0</v>
      </c>
      <c r="C589" s="41">
        <f>REGISTRO_B.DATOS!C590</f>
        <v>0</v>
      </c>
      <c r="D589" s="41">
        <f>REGISTRO_B.DATOS!D590</f>
        <v>0</v>
      </c>
      <c r="E589" s="42">
        <f>REGISTRO_B.DATOS!E590</f>
        <v>0</v>
      </c>
      <c r="F589" s="41">
        <f>REGISTRO_B.DATOS!F590</f>
        <v>0</v>
      </c>
      <c r="G589" s="41">
        <f>REGISTRO_B.DATOS!G590</f>
        <v>0</v>
      </c>
      <c r="H589" s="41">
        <f>REGISTRO_B.DATOS!H590</f>
        <v>0</v>
      </c>
      <c r="I589" s="41">
        <f>REGISTRO_B.DATOS!I590</f>
        <v>0</v>
      </c>
      <c r="J589" s="41">
        <f>REGISTRO_B.DATOS!J590</f>
        <v>0</v>
      </c>
      <c r="K589" s="43">
        <f>REGISTRO_B.DATOS!K590</f>
        <v>0</v>
      </c>
    </row>
    <row r="590" spans="1:11" x14ac:dyDescent="0.25">
      <c r="A590" s="40">
        <f>REGISTRO_B.DATOS!A591</f>
        <v>0</v>
      </c>
      <c r="B590" s="41">
        <f>REGISTRO_B.DATOS!B591</f>
        <v>0</v>
      </c>
      <c r="C590" s="41">
        <f>REGISTRO_B.DATOS!C591</f>
        <v>0</v>
      </c>
      <c r="D590" s="41">
        <f>REGISTRO_B.DATOS!D591</f>
        <v>0</v>
      </c>
      <c r="E590" s="42">
        <f>REGISTRO_B.DATOS!E591</f>
        <v>0</v>
      </c>
      <c r="F590" s="41">
        <f>REGISTRO_B.DATOS!F591</f>
        <v>0</v>
      </c>
      <c r="G590" s="41">
        <f>REGISTRO_B.DATOS!G591</f>
        <v>0</v>
      </c>
      <c r="H590" s="41">
        <f>REGISTRO_B.DATOS!H591</f>
        <v>0</v>
      </c>
      <c r="I590" s="41">
        <f>REGISTRO_B.DATOS!I591</f>
        <v>0</v>
      </c>
      <c r="J590" s="41">
        <f>REGISTRO_B.DATOS!J591</f>
        <v>0</v>
      </c>
      <c r="K590" s="43">
        <f>REGISTRO_B.DATOS!K591</f>
        <v>0</v>
      </c>
    </row>
    <row r="591" spans="1:11" x14ac:dyDescent="0.25">
      <c r="A591" s="40">
        <f>REGISTRO_B.DATOS!A592</f>
        <v>0</v>
      </c>
      <c r="B591" s="41">
        <f>REGISTRO_B.DATOS!B592</f>
        <v>0</v>
      </c>
      <c r="C591" s="41">
        <f>REGISTRO_B.DATOS!C592</f>
        <v>0</v>
      </c>
      <c r="D591" s="41">
        <f>REGISTRO_B.DATOS!D592</f>
        <v>0</v>
      </c>
      <c r="E591" s="42">
        <f>REGISTRO_B.DATOS!E592</f>
        <v>0</v>
      </c>
      <c r="F591" s="41">
        <f>REGISTRO_B.DATOS!F592</f>
        <v>0</v>
      </c>
      <c r="G591" s="41">
        <f>REGISTRO_B.DATOS!G592</f>
        <v>0</v>
      </c>
      <c r="H591" s="41">
        <f>REGISTRO_B.DATOS!H592</f>
        <v>0</v>
      </c>
      <c r="I591" s="41">
        <f>REGISTRO_B.DATOS!I592</f>
        <v>0</v>
      </c>
      <c r="J591" s="41">
        <f>REGISTRO_B.DATOS!J592</f>
        <v>0</v>
      </c>
      <c r="K591" s="43">
        <f>REGISTRO_B.DATOS!K592</f>
        <v>0</v>
      </c>
    </row>
    <row r="592" spans="1:11" x14ac:dyDescent="0.25">
      <c r="A592" s="40">
        <f>REGISTRO_B.DATOS!A593</f>
        <v>0</v>
      </c>
      <c r="B592" s="41">
        <f>REGISTRO_B.DATOS!B593</f>
        <v>0</v>
      </c>
      <c r="C592" s="41">
        <f>REGISTRO_B.DATOS!C593</f>
        <v>0</v>
      </c>
      <c r="D592" s="41">
        <f>REGISTRO_B.DATOS!D593</f>
        <v>0</v>
      </c>
      <c r="E592" s="42">
        <f>REGISTRO_B.DATOS!E593</f>
        <v>0</v>
      </c>
      <c r="F592" s="41">
        <f>REGISTRO_B.DATOS!F593</f>
        <v>0</v>
      </c>
      <c r="G592" s="41">
        <f>REGISTRO_B.DATOS!G593</f>
        <v>0</v>
      </c>
      <c r="H592" s="41">
        <f>REGISTRO_B.DATOS!H593</f>
        <v>0</v>
      </c>
      <c r="I592" s="41">
        <f>REGISTRO_B.DATOS!I593</f>
        <v>0</v>
      </c>
      <c r="J592" s="41">
        <f>REGISTRO_B.DATOS!J593</f>
        <v>0</v>
      </c>
      <c r="K592" s="43">
        <f>REGISTRO_B.DATOS!K593</f>
        <v>0</v>
      </c>
    </row>
    <row r="593" spans="1:11" x14ac:dyDescent="0.25">
      <c r="A593" s="40">
        <f>REGISTRO_B.DATOS!A594</f>
        <v>0</v>
      </c>
      <c r="B593" s="41">
        <f>REGISTRO_B.DATOS!B594</f>
        <v>0</v>
      </c>
      <c r="C593" s="41">
        <f>REGISTRO_B.DATOS!C594</f>
        <v>0</v>
      </c>
      <c r="D593" s="41">
        <f>REGISTRO_B.DATOS!D594</f>
        <v>0</v>
      </c>
      <c r="E593" s="42">
        <f>REGISTRO_B.DATOS!E594</f>
        <v>0</v>
      </c>
      <c r="F593" s="41">
        <f>REGISTRO_B.DATOS!F594</f>
        <v>0</v>
      </c>
      <c r="G593" s="41">
        <f>REGISTRO_B.DATOS!G594</f>
        <v>0</v>
      </c>
      <c r="H593" s="41">
        <f>REGISTRO_B.DATOS!H594</f>
        <v>0</v>
      </c>
      <c r="I593" s="41">
        <f>REGISTRO_B.DATOS!I594</f>
        <v>0</v>
      </c>
      <c r="J593" s="41">
        <f>REGISTRO_B.DATOS!J594</f>
        <v>0</v>
      </c>
      <c r="K593" s="43">
        <f>REGISTRO_B.DATOS!K594</f>
        <v>0</v>
      </c>
    </row>
    <row r="594" spans="1:11" x14ac:dyDescent="0.25">
      <c r="A594" s="40">
        <f>REGISTRO_B.DATOS!A595</f>
        <v>0</v>
      </c>
      <c r="B594" s="41">
        <f>REGISTRO_B.DATOS!B595</f>
        <v>0</v>
      </c>
      <c r="C594" s="41">
        <f>REGISTRO_B.DATOS!C595</f>
        <v>0</v>
      </c>
      <c r="D594" s="41">
        <f>REGISTRO_B.DATOS!D595</f>
        <v>0</v>
      </c>
      <c r="E594" s="42">
        <f>REGISTRO_B.DATOS!E595</f>
        <v>0</v>
      </c>
      <c r="F594" s="41">
        <f>REGISTRO_B.DATOS!F595</f>
        <v>0</v>
      </c>
      <c r="G594" s="41">
        <f>REGISTRO_B.DATOS!G595</f>
        <v>0</v>
      </c>
      <c r="H594" s="41">
        <f>REGISTRO_B.DATOS!H595</f>
        <v>0</v>
      </c>
      <c r="I594" s="41">
        <f>REGISTRO_B.DATOS!I595</f>
        <v>0</v>
      </c>
      <c r="J594" s="41">
        <f>REGISTRO_B.DATOS!J595</f>
        <v>0</v>
      </c>
      <c r="K594" s="43">
        <f>REGISTRO_B.DATOS!K595</f>
        <v>0</v>
      </c>
    </row>
    <row r="595" spans="1:11" x14ac:dyDescent="0.25">
      <c r="A595" s="40">
        <f>REGISTRO_B.DATOS!A596</f>
        <v>0</v>
      </c>
      <c r="B595" s="41">
        <f>REGISTRO_B.DATOS!B596</f>
        <v>0</v>
      </c>
      <c r="C595" s="41">
        <f>REGISTRO_B.DATOS!C596</f>
        <v>0</v>
      </c>
      <c r="D595" s="41">
        <f>REGISTRO_B.DATOS!D596</f>
        <v>0</v>
      </c>
      <c r="E595" s="42">
        <f>REGISTRO_B.DATOS!E596</f>
        <v>0</v>
      </c>
      <c r="F595" s="41">
        <f>REGISTRO_B.DATOS!F596</f>
        <v>0</v>
      </c>
      <c r="G595" s="41">
        <f>REGISTRO_B.DATOS!G596</f>
        <v>0</v>
      </c>
      <c r="H595" s="41">
        <f>REGISTRO_B.DATOS!H596</f>
        <v>0</v>
      </c>
      <c r="I595" s="41">
        <f>REGISTRO_B.DATOS!I596</f>
        <v>0</v>
      </c>
      <c r="J595" s="41">
        <f>REGISTRO_B.DATOS!J596</f>
        <v>0</v>
      </c>
      <c r="K595" s="43">
        <f>REGISTRO_B.DATOS!K596</f>
        <v>0</v>
      </c>
    </row>
    <row r="596" spans="1:11" x14ac:dyDescent="0.25">
      <c r="A596" s="40">
        <f>REGISTRO_B.DATOS!A597</f>
        <v>0</v>
      </c>
      <c r="B596" s="41">
        <f>REGISTRO_B.DATOS!B597</f>
        <v>0</v>
      </c>
      <c r="C596" s="41">
        <f>REGISTRO_B.DATOS!C597</f>
        <v>0</v>
      </c>
      <c r="D596" s="41">
        <f>REGISTRO_B.DATOS!D597</f>
        <v>0</v>
      </c>
      <c r="E596" s="42">
        <f>REGISTRO_B.DATOS!E597</f>
        <v>0</v>
      </c>
      <c r="F596" s="41">
        <f>REGISTRO_B.DATOS!F597</f>
        <v>0</v>
      </c>
      <c r="G596" s="41">
        <f>REGISTRO_B.DATOS!G597</f>
        <v>0</v>
      </c>
      <c r="H596" s="41">
        <f>REGISTRO_B.DATOS!H597</f>
        <v>0</v>
      </c>
      <c r="I596" s="41">
        <f>REGISTRO_B.DATOS!I597</f>
        <v>0</v>
      </c>
      <c r="J596" s="41">
        <f>REGISTRO_B.DATOS!J597</f>
        <v>0</v>
      </c>
      <c r="K596" s="43">
        <f>REGISTRO_B.DATOS!K597</f>
        <v>0</v>
      </c>
    </row>
    <row r="597" spans="1:11" x14ac:dyDescent="0.25">
      <c r="A597" s="40">
        <f>REGISTRO_B.DATOS!A598</f>
        <v>0</v>
      </c>
      <c r="B597" s="41">
        <f>REGISTRO_B.DATOS!B598</f>
        <v>0</v>
      </c>
      <c r="C597" s="41">
        <f>REGISTRO_B.DATOS!C598</f>
        <v>0</v>
      </c>
      <c r="D597" s="41">
        <f>REGISTRO_B.DATOS!D598</f>
        <v>0</v>
      </c>
      <c r="E597" s="42">
        <f>REGISTRO_B.DATOS!E598</f>
        <v>0</v>
      </c>
      <c r="F597" s="41">
        <f>REGISTRO_B.DATOS!F598</f>
        <v>0</v>
      </c>
      <c r="G597" s="41">
        <f>REGISTRO_B.DATOS!G598</f>
        <v>0</v>
      </c>
      <c r="H597" s="41">
        <f>REGISTRO_B.DATOS!H598</f>
        <v>0</v>
      </c>
      <c r="I597" s="41">
        <f>REGISTRO_B.DATOS!I598</f>
        <v>0</v>
      </c>
      <c r="J597" s="41">
        <f>REGISTRO_B.DATOS!J598</f>
        <v>0</v>
      </c>
      <c r="K597" s="43">
        <f>REGISTRO_B.DATOS!K598</f>
        <v>0</v>
      </c>
    </row>
    <row r="598" spans="1:11" x14ac:dyDescent="0.25">
      <c r="A598" s="40">
        <f>REGISTRO_B.DATOS!A599</f>
        <v>0</v>
      </c>
      <c r="B598" s="41">
        <f>REGISTRO_B.DATOS!B599</f>
        <v>0</v>
      </c>
      <c r="C598" s="41">
        <f>REGISTRO_B.DATOS!C599</f>
        <v>0</v>
      </c>
      <c r="D598" s="41">
        <f>REGISTRO_B.DATOS!D599</f>
        <v>0</v>
      </c>
      <c r="E598" s="42">
        <f>REGISTRO_B.DATOS!E599</f>
        <v>0</v>
      </c>
      <c r="F598" s="41">
        <f>REGISTRO_B.DATOS!F599</f>
        <v>0</v>
      </c>
      <c r="G598" s="41">
        <f>REGISTRO_B.DATOS!G599</f>
        <v>0</v>
      </c>
      <c r="H598" s="41">
        <f>REGISTRO_B.DATOS!H599</f>
        <v>0</v>
      </c>
      <c r="I598" s="41">
        <f>REGISTRO_B.DATOS!I599</f>
        <v>0</v>
      </c>
      <c r="J598" s="41">
        <f>REGISTRO_B.DATOS!J599</f>
        <v>0</v>
      </c>
      <c r="K598" s="43">
        <f>REGISTRO_B.DATOS!K599</f>
        <v>0</v>
      </c>
    </row>
    <row r="599" spans="1:11" x14ac:dyDescent="0.25">
      <c r="A599" s="40">
        <f>REGISTRO_B.DATOS!A600</f>
        <v>0</v>
      </c>
      <c r="B599" s="41">
        <f>REGISTRO_B.DATOS!B600</f>
        <v>0</v>
      </c>
      <c r="C599" s="41">
        <f>REGISTRO_B.DATOS!C600</f>
        <v>0</v>
      </c>
      <c r="D599" s="41">
        <f>REGISTRO_B.DATOS!D600</f>
        <v>0</v>
      </c>
      <c r="E599" s="42">
        <f>REGISTRO_B.DATOS!E600</f>
        <v>0</v>
      </c>
      <c r="F599" s="41">
        <f>REGISTRO_B.DATOS!F600</f>
        <v>0</v>
      </c>
      <c r="G599" s="41">
        <f>REGISTRO_B.DATOS!G600</f>
        <v>0</v>
      </c>
      <c r="H599" s="41">
        <f>REGISTRO_B.DATOS!H600</f>
        <v>0</v>
      </c>
      <c r="I599" s="41">
        <f>REGISTRO_B.DATOS!I600</f>
        <v>0</v>
      </c>
      <c r="J599" s="41">
        <f>REGISTRO_B.DATOS!J600</f>
        <v>0</v>
      </c>
      <c r="K599" s="43">
        <f>REGISTRO_B.DATOS!K600</f>
        <v>0</v>
      </c>
    </row>
    <row r="600" spans="1:11" x14ac:dyDescent="0.25">
      <c r="A600" s="40">
        <f>REGISTRO_B.DATOS!A601</f>
        <v>0</v>
      </c>
      <c r="B600" s="41">
        <f>REGISTRO_B.DATOS!B601</f>
        <v>0</v>
      </c>
      <c r="C600" s="41">
        <f>REGISTRO_B.DATOS!C601</f>
        <v>0</v>
      </c>
      <c r="D600" s="41">
        <f>REGISTRO_B.DATOS!D601</f>
        <v>0</v>
      </c>
      <c r="E600" s="42">
        <f>REGISTRO_B.DATOS!E601</f>
        <v>0</v>
      </c>
      <c r="F600" s="41">
        <f>REGISTRO_B.DATOS!F601</f>
        <v>0</v>
      </c>
      <c r="G600" s="41">
        <f>REGISTRO_B.DATOS!G601</f>
        <v>0</v>
      </c>
      <c r="H600" s="41">
        <f>REGISTRO_B.DATOS!H601</f>
        <v>0</v>
      </c>
      <c r="I600" s="41">
        <f>REGISTRO_B.DATOS!I601</f>
        <v>0</v>
      </c>
      <c r="J600" s="41">
        <f>REGISTRO_B.DATOS!J601</f>
        <v>0</v>
      </c>
      <c r="K600" s="43">
        <f>REGISTRO_B.DATOS!K601</f>
        <v>0</v>
      </c>
    </row>
    <row r="601" spans="1:11" x14ac:dyDescent="0.25">
      <c r="A601" s="40">
        <f>REGISTRO_B.DATOS!A602</f>
        <v>0</v>
      </c>
      <c r="B601" s="41">
        <f>REGISTRO_B.DATOS!B602</f>
        <v>0</v>
      </c>
      <c r="C601" s="41">
        <f>REGISTRO_B.DATOS!C602</f>
        <v>0</v>
      </c>
      <c r="D601" s="41">
        <f>REGISTRO_B.DATOS!D602</f>
        <v>0</v>
      </c>
      <c r="E601" s="42">
        <f>REGISTRO_B.DATOS!E602</f>
        <v>0</v>
      </c>
      <c r="F601" s="41">
        <f>REGISTRO_B.DATOS!F602</f>
        <v>0</v>
      </c>
      <c r="G601" s="41">
        <f>REGISTRO_B.DATOS!G602</f>
        <v>0</v>
      </c>
      <c r="H601" s="41">
        <f>REGISTRO_B.DATOS!H602</f>
        <v>0</v>
      </c>
      <c r="I601" s="41">
        <f>REGISTRO_B.DATOS!I602</f>
        <v>0</v>
      </c>
      <c r="J601" s="41">
        <f>REGISTRO_B.DATOS!J602</f>
        <v>0</v>
      </c>
      <c r="K601" s="43">
        <f>REGISTRO_B.DATOS!K602</f>
        <v>0</v>
      </c>
    </row>
    <row r="602" spans="1:11" x14ac:dyDescent="0.25">
      <c r="A602" s="40">
        <f>REGISTRO_B.DATOS!A603</f>
        <v>0</v>
      </c>
      <c r="B602" s="41">
        <f>REGISTRO_B.DATOS!B603</f>
        <v>0</v>
      </c>
      <c r="C602" s="41">
        <f>REGISTRO_B.DATOS!C603</f>
        <v>0</v>
      </c>
      <c r="D602" s="41">
        <f>REGISTRO_B.DATOS!D603</f>
        <v>0</v>
      </c>
      <c r="E602" s="42">
        <f>REGISTRO_B.DATOS!E603</f>
        <v>0</v>
      </c>
      <c r="F602" s="41">
        <f>REGISTRO_B.DATOS!F603</f>
        <v>0</v>
      </c>
      <c r="G602" s="41">
        <f>REGISTRO_B.DATOS!G603</f>
        <v>0</v>
      </c>
      <c r="H602" s="41">
        <f>REGISTRO_B.DATOS!H603</f>
        <v>0</v>
      </c>
      <c r="I602" s="41">
        <f>REGISTRO_B.DATOS!I603</f>
        <v>0</v>
      </c>
      <c r="J602" s="41">
        <f>REGISTRO_B.DATOS!J603</f>
        <v>0</v>
      </c>
      <c r="K602" s="43">
        <f>REGISTRO_B.DATOS!K603</f>
        <v>0</v>
      </c>
    </row>
    <row r="603" spans="1:11" x14ac:dyDescent="0.25">
      <c r="A603" s="40">
        <f>REGISTRO_B.DATOS!A604</f>
        <v>0</v>
      </c>
      <c r="B603" s="41">
        <f>REGISTRO_B.DATOS!B604</f>
        <v>0</v>
      </c>
      <c r="C603" s="41">
        <f>REGISTRO_B.DATOS!C604</f>
        <v>0</v>
      </c>
      <c r="D603" s="41">
        <f>REGISTRO_B.DATOS!D604</f>
        <v>0</v>
      </c>
      <c r="E603" s="42">
        <f>REGISTRO_B.DATOS!E604</f>
        <v>0</v>
      </c>
      <c r="F603" s="41">
        <f>REGISTRO_B.DATOS!F604</f>
        <v>0</v>
      </c>
      <c r="G603" s="41">
        <f>REGISTRO_B.DATOS!G604</f>
        <v>0</v>
      </c>
      <c r="H603" s="41">
        <f>REGISTRO_B.DATOS!H604</f>
        <v>0</v>
      </c>
      <c r="I603" s="41">
        <f>REGISTRO_B.DATOS!I604</f>
        <v>0</v>
      </c>
      <c r="J603" s="41">
        <f>REGISTRO_B.DATOS!J604</f>
        <v>0</v>
      </c>
      <c r="K603" s="43">
        <f>REGISTRO_B.DATOS!K604</f>
        <v>0</v>
      </c>
    </row>
    <row r="604" spans="1:11" x14ac:dyDescent="0.25">
      <c r="A604" s="40">
        <f>REGISTRO_B.DATOS!A605</f>
        <v>0</v>
      </c>
      <c r="B604" s="41">
        <f>REGISTRO_B.DATOS!B605</f>
        <v>0</v>
      </c>
      <c r="C604" s="41">
        <f>REGISTRO_B.DATOS!C605</f>
        <v>0</v>
      </c>
      <c r="D604" s="41">
        <f>REGISTRO_B.DATOS!D605</f>
        <v>0</v>
      </c>
      <c r="E604" s="42">
        <f>REGISTRO_B.DATOS!E605</f>
        <v>0</v>
      </c>
      <c r="F604" s="41">
        <f>REGISTRO_B.DATOS!F605</f>
        <v>0</v>
      </c>
      <c r="G604" s="41">
        <f>REGISTRO_B.DATOS!G605</f>
        <v>0</v>
      </c>
      <c r="H604" s="41">
        <f>REGISTRO_B.DATOS!H605</f>
        <v>0</v>
      </c>
      <c r="I604" s="41">
        <f>REGISTRO_B.DATOS!I605</f>
        <v>0</v>
      </c>
      <c r="J604" s="41">
        <f>REGISTRO_B.DATOS!J605</f>
        <v>0</v>
      </c>
      <c r="K604" s="43">
        <f>REGISTRO_B.DATOS!K605</f>
        <v>0</v>
      </c>
    </row>
    <row r="605" spans="1:11" x14ac:dyDescent="0.25">
      <c r="A605" s="40">
        <f>REGISTRO_B.DATOS!A606</f>
        <v>0</v>
      </c>
      <c r="B605" s="41">
        <f>REGISTRO_B.DATOS!B606</f>
        <v>0</v>
      </c>
      <c r="C605" s="41">
        <f>REGISTRO_B.DATOS!C606</f>
        <v>0</v>
      </c>
      <c r="D605" s="41">
        <f>REGISTRO_B.DATOS!D606</f>
        <v>0</v>
      </c>
      <c r="E605" s="42">
        <f>REGISTRO_B.DATOS!E606</f>
        <v>0</v>
      </c>
      <c r="F605" s="41">
        <f>REGISTRO_B.DATOS!F606</f>
        <v>0</v>
      </c>
      <c r="G605" s="41">
        <f>REGISTRO_B.DATOS!G606</f>
        <v>0</v>
      </c>
      <c r="H605" s="41">
        <f>REGISTRO_B.DATOS!H606</f>
        <v>0</v>
      </c>
      <c r="I605" s="41">
        <f>REGISTRO_B.DATOS!I606</f>
        <v>0</v>
      </c>
      <c r="J605" s="41">
        <f>REGISTRO_B.DATOS!J606</f>
        <v>0</v>
      </c>
      <c r="K605" s="43">
        <f>REGISTRO_B.DATOS!K606</f>
        <v>0</v>
      </c>
    </row>
    <row r="606" spans="1:11" x14ac:dyDescent="0.25">
      <c r="A606" s="40">
        <f>REGISTRO_B.DATOS!A607</f>
        <v>0</v>
      </c>
      <c r="B606" s="41">
        <f>REGISTRO_B.DATOS!B607</f>
        <v>0</v>
      </c>
      <c r="C606" s="41">
        <f>REGISTRO_B.DATOS!C607</f>
        <v>0</v>
      </c>
      <c r="D606" s="41">
        <f>REGISTRO_B.DATOS!D607</f>
        <v>0</v>
      </c>
      <c r="E606" s="42">
        <f>REGISTRO_B.DATOS!E607</f>
        <v>0</v>
      </c>
      <c r="F606" s="41">
        <f>REGISTRO_B.DATOS!F607</f>
        <v>0</v>
      </c>
      <c r="G606" s="41">
        <f>REGISTRO_B.DATOS!G607</f>
        <v>0</v>
      </c>
      <c r="H606" s="41">
        <f>REGISTRO_B.DATOS!H607</f>
        <v>0</v>
      </c>
      <c r="I606" s="41">
        <f>REGISTRO_B.DATOS!I607</f>
        <v>0</v>
      </c>
      <c r="J606" s="41">
        <f>REGISTRO_B.DATOS!J607</f>
        <v>0</v>
      </c>
      <c r="K606" s="43">
        <f>REGISTRO_B.DATOS!K607</f>
        <v>0</v>
      </c>
    </row>
    <row r="607" spans="1:11" x14ac:dyDescent="0.25">
      <c r="A607" s="40">
        <f>REGISTRO_B.DATOS!A608</f>
        <v>0</v>
      </c>
      <c r="B607" s="41">
        <f>REGISTRO_B.DATOS!B608</f>
        <v>0</v>
      </c>
      <c r="C607" s="41">
        <f>REGISTRO_B.DATOS!C608</f>
        <v>0</v>
      </c>
      <c r="D607" s="41">
        <f>REGISTRO_B.DATOS!D608</f>
        <v>0</v>
      </c>
      <c r="E607" s="42">
        <f>REGISTRO_B.DATOS!E608</f>
        <v>0</v>
      </c>
      <c r="F607" s="41">
        <f>REGISTRO_B.DATOS!F608</f>
        <v>0</v>
      </c>
      <c r="G607" s="41">
        <f>REGISTRO_B.DATOS!G608</f>
        <v>0</v>
      </c>
      <c r="H607" s="41">
        <f>REGISTRO_B.DATOS!H608</f>
        <v>0</v>
      </c>
      <c r="I607" s="41">
        <f>REGISTRO_B.DATOS!I608</f>
        <v>0</v>
      </c>
      <c r="J607" s="41">
        <f>REGISTRO_B.DATOS!J608</f>
        <v>0</v>
      </c>
      <c r="K607" s="43">
        <f>REGISTRO_B.DATOS!K608</f>
        <v>0</v>
      </c>
    </row>
    <row r="608" spans="1:11" x14ac:dyDescent="0.25">
      <c r="A608" s="40">
        <f>REGISTRO_B.DATOS!A609</f>
        <v>0</v>
      </c>
      <c r="B608" s="41">
        <f>REGISTRO_B.DATOS!B609</f>
        <v>0</v>
      </c>
      <c r="C608" s="41">
        <f>REGISTRO_B.DATOS!C609</f>
        <v>0</v>
      </c>
      <c r="D608" s="41">
        <f>REGISTRO_B.DATOS!D609</f>
        <v>0</v>
      </c>
      <c r="E608" s="42">
        <f>REGISTRO_B.DATOS!E609</f>
        <v>0</v>
      </c>
      <c r="F608" s="41">
        <f>REGISTRO_B.DATOS!F609</f>
        <v>0</v>
      </c>
      <c r="G608" s="41">
        <f>REGISTRO_B.DATOS!G609</f>
        <v>0</v>
      </c>
      <c r="H608" s="41">
        <f>REGISTRO_B.DATOS!H609</f>
        <v>0</v>
      </c>
      <c r="I608" s="41">
        <f>REGISTRO_B.DATOS!I609</f>
        <v>0</v>
      </c>
      <c r="J608" s="41">
        <f>REGISTRO_B.DATOS!J609</f>
        <v>0</v>
      </c>
      <c r="K608" s="43">
        <f>REGISTRO_B.DATOS!K609</f>
        <v>0</v>
      </c>
    </row>
    <row r="609" spans="1:11" x14ac:dyDescent="0.25">
      <c r="A609" s="40">
        <f>REGISTRO_B.DATOS!A610</f>
        <v>0</v>
      </c>
      <c r="B609" s="41">
        <f>REGISTRO_B.DATOS!B610</f>
        <v>0</v>
      </c>
      <c r="C609" s="41">
        <f>REGISTRO_B.DATOS!C610</f>
        <v>0</v>
      </c>
      <c r="D609" s="41">
        <f>REGISTRO_B.DATOS!D610</f>
        <v>0</v>
      </c>
      <c r="E609" s="42">
        <f>REGISTRO_B.DATOS!E610</f>
        <v>0</v>
      </c>
      <c r="F609" s="41">
        <f>REGISTRO_B.DATOS!F610</f>
        <v>0</v>
      </c>
      <c r="G609" s="41">
        <f>REGISTRO_B.DATOS!G610</f>
        <v>0</v>
      </c>
      <c r="H609" s="41">
        <f>REGISTRO_B.DATOS!H610</f>
        <v>0</v>
      </c>
      <c r="I609" s="41">
        <f>REGISTRO_B.DATOS!I610</f>
        <v>0</v>
      </c>
      <c r="J609" s="41">
        <f>REGISTRO_B.DATOS!J610</f>
        <v>0</v>
      </c>
      <c r="K609" s="43">
        <f>REGISTRO_B.DATOS!K610</f>
        <v>0</v>
      </c>
    </row>
    <row r="610" spans="1:11" x14ac:dyDescent="0.25">
      <c r="A610" s="40">
        <f>REGISTRO_B.DATOS!A611</f>
        <v>0</v>
      </c>
      <c r="B610" s="41">
        <f>REGISTRO_B.DATOS!B611</f>
        <v>0</v>
      </c>
      <c r="C610" s="41">
        <f>REGISTRO_B.DATOS!C611</f>
        <v>0</v>
      </c>
      <c r="D610" s="41">
        <f>REGISTRO_B.DATOS!D611</f>
        <v>0</v>
      </c>
      <c r="E610" s="42">
        <f>REGISTRO_B.DATOS!E611</f>
        <v>0</v>
      </c>
      <c r="F610" s="41">
        <f>REGISTRO_B.DATOS!F611</f>
        <v>0</v>
      </c>
      <c r="G610" s="41">
        <f>REGISTRO_B.DATOS!G611</f>
        <v>0</v>
      </c>
      <c r="H610" s="41">
        <f>REGISTRO_B.DATOS!H611</f>
        <v>0</v>
      </c>
      <c r="I610" s="41">
        <f>REGISTRO_B.DATOS!I611</f>
        <v>0</v>
      </c>
      <c r="J610" s="41">
        <f>REGISTRO_B.DATOS!J611</f>
        <v>0</v>
      </c>
      <c r="K610" s="43">
        <f>REGISTRO_B.DATOS!K611</f>
        <v>0</v>
      </c>
    </row>
    <row r="611" spans="1:11" x14ac:dyDescent="0.25">
      <c r="A611" s="40">
        <f>REGISTRO_B.DATOS!A612</f>
        <v>0</v>
      </c>
      <c r="B611" s="41">
        <f>REGISTRO_B.DATOS!B612</f>
        <v>0</v>
      </c>
      <c r="C611" s="41">
        <f>REGISTRO_B.DATOS!C612</f>
        <v>0</v>
      </c>
      <c r="D611" s="41">
        <f>REGISTRO_B.DATOS!D612</f>
        <v>0</v>
      </c>
      <c r="E611" s="42">
        <f>REGISTRO_B.DATOS!E612</f>
        <v>0</v>
      </c>
      <c r="F611" s="41">
        <f>REGISTRO_B.DATOS!F612</f>
        <v>0</v>
      </c>
      <c r="G611" s="41">
        <f>REGISTRO_B.DATOS!G612</f>
        <v>0</v>
      </c>
      <c r="H611" s="41">
        <f>REGISTRO_B.DATOS!H612</f>
        <v>0</v>
      </c>
      <c r="I611" s="41">
        <f>REGISTRO_B.DATOS!I612</f>
        <v>0</v>
      </c>
      <c r="J611" s="41">
        <f>REGISTRO_B.DATOS!J612</f>
        <v>0</v>
      </c>
      <c r="K611" s="43">
        <f>REGISTRO_B.DATOS!K612</f>
        <v>0</v>
      </c>
    </row>
    <row r="612" spans="1:11" x14ac:dyDescent="0.25">
      <c r="A612" s="40">
        <f>REGISTRO_B.DATOS!A613</f>
        <v>0</v>
      </c>
      <c r="B612" s="41">
        <f>REGISTRO_B.DATOS!B613</f>
        <v>0</v>
      </c>
      <c r="C612" s="41">
        <f>REGISTRO_B.DATOS!C613</f>
        <v>0</v>
      </c>
      <c r="D612" s="41">
        <f>REGISTRO_B.DATOS!D613</f>
        <v>0</v>
      </c>
      <c r="E612" s="42">
        <f>REGISTRO_B.DATOS!E613</f>
        <v>0</v>
      </c>
      <c r="F612" s="41">
        <f>REGISTRO_B.DATOS!F613</f>
        <v>0</v>
      </c>
      <c r="G612" s="41">
        <f>REGISTRO_B.DATOS!G613</f>
        <v>0</v>
      </c>
      <c r="H612" s="41">
        <f>REGISTRO_B.DATOS!H613</f>
        <v>0</v>
      </c>
      <c r="I612" s="41">
        <f>REGISTRO_B.DATOS!I613</f>
        <v>0</v>
      </c>
      <c r="J612" s="41">
        <f>REGISTRO_B.DATOS!J613</f>
        <v>0</v>
      </c>
      <c r="K612" s="43">
        <f>REGISTRO_B.DATOS!K613</f>
        <v>0</v>
      </c>
    </row>
    <row r="613" spans="1:11" x14ac:dyDescent="0.25">
      <c r="A613" s="40">
        <f>REGISTRO_B.DATOS!A614</f>
        <v>0</v>
      </c>
      <c r="B613" s="41">
        <f>REGISTRO_B.DATOS!B614</f>
        <v>0</v>
      </c>
      <c r="C613" s="41">
        <f>REGISTRO_B.DATOS!C614</f>
        <v>0</v>
      </c>
      <c r="D613" s="41">
        <f>REGISTRO_B.DATOS!D614</f>
        <v>0</v>
      </c>
      <c r="E613" s="42">
        <f>REGISTRO_B.DATOS!E614</f>
        <v>0</v>
      </c>
      <c r="F613" s="41">
        <f>REGISTRO_B.DATOS!F614</f>
        <v>0</v>
      </c>
      <c r="G613" s="41">
        <f>REGISTRO_B.DATOS!G614</f>
        <v>0</v>
      </c>
      <c r="H613" s="41">
        <f>REGISTRO_B.DATOS!H614</f>
        <v>0</v>
      </c>
      <c r="I613" s="41">
        <f>REGISTRO_B.DATOS!I614</f>
        <v>0</v>
      </c>
      <c r="J613" s="41">
        <f>REGISTRO_B.DATOS!J614</f>
        <v>0</v>
      </c>
      <c r="K613" s="43">
        <f>REGISTRO_B.DATOS!K614</f>
        <v>0</v>
      </c>
    </row>
    <row r="614" spans="1:11" x14ac:dyDescent="0.25">
      <c r="A614" s="40">
        <f>REGISTRO_B.DATOS!A615</f>
        <v>0</v>
      </c>
      <c r="B614" s="41">
        <f>REGISTRO_B.DATOS!B615</f>
        <v>0</v>
      </c>
      <c r="C614" s="41">
        <f>REGISTRO_B.DATOS!C615</f>
        <v>0</v>
      </c>
      <c r="D614" s="41">
        <f>REGISTRO_B.DATOS!D615</f>
        <v>0</v>
      </c>
      <c r="E614" s="42">
        <f>REGISTRO_B.DATOS!E615</f>
        <v>0</v>
      </c>
      <c r="F614" s="41">
        <f>REGISTRO_B.DATOS!F615</f>
        <v>0</v>
      </c>
      <c r="G614" s="41">
        <f>REGISTRO_B.DATOS!G615</f>
        <v>0</v>
      </c>
      <c r="H614" s="41">
        <f>REGISTRO_B.DATOS!H615</f>
        <v>0</v>
      </c>
      <c r="I614" s="41">
        <f>REGISTRO_B.DATOS!I615</f>
        <v>0</v>
      </c>
      <c r="J614" s="41">
        <f>REGISTRO_B.DATOS!J615</f>
        <v>0</v>
      </c>
      <c r="K614" s="43">
        <f>REGISTRO_B.DATOS!K615</f>
        <v>0</v>
      </c>
    </row>
    <row r="615" spans="1:11" x14ac:dyDescent="0.25">
      <c r="A615" s="40">
        <f>REGISTRO_B.DATOS!A616</f>
        <v>0</v>
      </c>
      <c r="B615" s="41">
        <f>REGISTRO_B.DATOS!B616</f>
        <v>0</v>
      </c>
      <c r="C615" s="41">
        <f>REGISTRO_B.DATOS!C616</f>
        <v>0</v>
      </c>
      <c r="D615" s="41">
        <f>REGISTRO_B.DATOS!D616</f>
        <v>0</v>
      </c>
      <c r="E615" s="42">
        <f>REGISTRO_B.DATOS!E616</f>
        <v>0</v>
      </c>
      <c r="F615" s="41">
        <f>REGISTRO_B.DATOS!F616</f>
        <v>0</v>
      </c>
      <c r="G615" s="41">
        <f>REGISTRO_B.DATOS!G616</f>
        <v>0</v>
      </c>
      <c r="H615" s="41">
        <f>REGISTRO_B.DATOS!H616</f>
        <v>0</v>
      </c>
      <c r="I615" s="41">
        <f>REGISTRO_B.DATOS!I616</f>
        <v>0</v>
      </c>
      <c r="J615" s="41">
        <f>REGISTRO_B.DATOS!J616</f>
        <v>0</v>
      </c>
      <c r="K615" s="43">
        <f>REGISTRO_B.DATOS!K616</f>
        <v>0</v>
      </c>
    </row>
    <row r="616" spans="1:11" x14ac:dyDescent="0.25">
      <c r="A616" s="40">
        <f>REGISTRO_B.DATOS!A617</f>
        <v>0</v>
      </c>
      <c r="B616" s="41">
        <f>REGISTRO_B.DATOS!B617</f>
        <v>0</v>
      </c>
      <c r="C616" s="41">
        <f>REGISTRO_B.DATOS!C617</f>
        <v>0</v>
      </c>
      <c r="D616" s="41">
        <f>REGISTRO_B.DATOS!D617</f>
        <v>0</v>
      </c>
      <c r="E616" s="42">
        <f>REGISTRO_B.DATOS!E617</f>
        <v>0</v>
      </c>
      <c r="F616" s="41">
        <f>REGISTRO_B.DATOS!F617</f>
        <v>0</v>
      </c>
      <c r="G616" s="41">
        <f>REGISTRO_B.DATOS!G617</f>
        <v>0</v>
      </c>
      <c r="H616" s="41">
        <f>REGISTRO_B.DATOS!H617</f>
        <v>0</v>
      </c>
      <c r="I616" s="41">
        <f>REGISTRO_B.DATOS!I617</f>
        <v>0</v>
      </c>
      <c r="J616" s="41">
        <f>REGISTRO_B.DATOS!J617</f>
        <v>0</v>
      </c>
      <c r="K616" s="43">
        <f>REGISTRO_B.DATOS!K617</f>
        <v>0</v>
      </c>
    </row>
    <row r="617" spans="1:11" x14ac:dyDescent="0.25">
      <c r="A617" s="40">
        <f>REGISTRO_B.DATOS!A618</f>
        <v>0</v>
      </c>
      <c r="B617" s="41">
        <f>REGISTRO_B.DATOS!B618</f>
        <v>0</v>
      </c>
      <c r="C617" s="41">
        <f>REGISTRO_B.DATOS!C618</f>
        <v>0</v>
      </c>
      <c r="D617" s="41">
        <f>REGISTRO_B.DATOS!D618</f>
        <v>0</v>
      </c>
      <c r="E617" s="42">
        <f>REGISTRO_B.DATOS!E618</f>
        <v>0</v>
      </c>
      <c r="F617" s="41">
        <f>REGISTRO_B.DATOS!F618</f>
        <v>0</v>
      </c>
      <c r="G617" s="41">
        <f>REGISTRO_B.DATOS!G618</f>
        <v>0</v>
      </c>
      <c r="H617" s="41">
        <f>REGISTRO_B.DATOS!H618</f>
        <v>0</v>
      </c>
      <c r="I617" s="41">
        <f>REGISTRO_B.DATOS!I618</f>
        <v>0</v>
      </c>
      <c r="J617" s="41">
        <f>REGISTRO_B.DATOS!J618</f>
        <v>0</v>
      </c>
      <c r="K617" s="43">
        <f>REGISTRO_B.DATOS!K618</f>
        <v>0</v>
      </c>
    </row>
    <row r="618" spans="1:11" x14ac:dyDescent="0.25">
      <c r="A618" s="40">
        <f>REGISTRO_B.DATOS!A619</f>
        <v>0</v>
      </c>
      <c r="B618" s="41">
        <f>REGISTRO_B.DATOS!B619</f>
        <v>0</v>
      </c>
      <c r="C618" s="41">
        <f>REGISTRO_B.DATOS!C619</f>
        <v>0</v>
      </c>
      <c r="D618" s="41">
        <f>REGISTRO_B.DATOS!D619</f>
        <v>0</v>
      </c>
      <c r="E618" s="42">
        <f>REGISTRO_B.DATOS!E619</f>
        <v>0</v>
      </c>
      <c r="F618" s="41">
        <f>REGISTRO_B.DATOS!F619</f>
        <v>0</v>
      </c>
      <c r="G618" s="41">
        <f>REGISTRO_B.DATOS!G619</f>
        <v>0</v>
      </c>
      <c r="H618" s="41">
        <f>REGISTRO_B.DATOS!H619</f>
        <v>0</v>
      </c>
      <c r="I618" s="41">
        <f>REGISTRO_B.DATOS!I619</f>
        <v>0</v>
      </c>
      <c r="J618" s="41">
        <f>REGISTRO_B.DATOS!J619</f>
        <v>0</v>
      </c>
      <c r="K618" s="43">
        <f>REGISTRO_B.DATOS!K619</f>
        <v>0</v>
      </c>
    </row>
    <row r="619" spans="1:11" x14ac:dyDescent="0.25">
      <c r="A619" s="40">
        <f>REGISTRO_B.DATOS!A620</f>
        <v>0</v>
      </c>
      <c r="B619" s="41">
        <f>REGISTRO_B.DATOS!B620</f>
        <v>0</v>
      </c>
      <c r="C619" s="41">
        <f>REGISTRO_B.DATOS!C620</f>
        <v>0</v>
      </c>
      <c r="D619" s="41">
        <f>REGISTRO_B.DATOS!D620</f>
        <v>0</v>
      </c>
      <c r="E619" s="42">
        <f>REGISTRO_B.DATOS!E620</f>
        <v>0</v>
      </c>
      <c r="F619" s="41">
        <f>REGISTRO_B.DATOS!F620</f>
        <v>0</v>
      </c>
      <c r="G619" s="41">
        <f>REGISTRO_B.DATOS!G620</f>
        <v>0</v>
      </c>
      <c r="H619" s="41">
        <f>REGISTRO_B.DATOS!H620</f>
        <v>0</v>
      </c>
      <c r="I619" s="41">
        <f>REGISTRO_B.DATOS!I620</f>
        <v>0</v>
      </c>
      <c r="J619" s="41">
        <f>REGISTRO_B.DATOS!J620</f>
        <v>0</v>
      </c>
      <c r="K619" s="43">
        <f>REGISTRO_B.DATOS!K620</f>
        <v>0</v>
      </c>
    </row>
    <row r="620" spans="1:11" x14ac:dyDescent="0.25">
      <c r="A620" s="40">
        <f>REGISTRO_B.DATOS!A621</f>
        <v>0</v>
      </c>
      <c r="B620" s="41">
        <f>REGISTRO_B.DATOS!B621</f>
        <v>0</v>
      </c>
      <c r="C620" s="41">
        <f>REGISTRO_B.DATOS!C621</f>
        <v>0</v>
      </c>
      <c r="D620" s="41">
        <f>REGISTRO_B.DATOS!D621</f>
        <v>0</v>
      </c>
      <c r="E620" s="42">
        <f>REGISTRO_B.DATOS!E621</f>
        <v>0</v>
      </c>
      <c r="F620" s="41">
        <f>REGISTRO_B.DATOS!F621</f>
        <v>0</v>
      </c>
      <c r="G620" s="41">
        <f>REGISTRO_B.DATOS!G621</f>
        <v>0</v>
      </c>
      <c r="H620" s="41">
        <f>REGISTRO_B.DATOS!H621</f>
        <v>0</v>
      </c>
      <c r="I620" s="41">
        <f>REGISTRO_B.DATOS!I621</f>
        <v>0</v>
      </c>
      <c r="J620" s="41">
        <f>REGISTRO_B.DATOS!J621</f>
        <v>0</v>
      </c>
      <c r="K620" s="43">
        <f>REGISTRO_B.DATOS!K621</f>
        <v>0</v>
      </c>
    </row>
    <row r="621" spans="1:11" x14ac:dyDescent="0.25">
      <c r="A621" s="40">
        <f>REGISTRO_B.DATOS!A622</f>
        <v>0</v>
      </c>
      <c r="B621" s="41">
        <f>REGISTRO_B.DATOS!B622</f>
        <v>0</v>
      </c>
      <c r="C621" s="41">
        <f>REGISTRO_B.DATOS!C622</f>
        <v>0</v>
      </c>
      <c r="D621" s="41">
        <f>REGISTRO_B.DATOS!D622</f>
        <v>0</v>
      </c>
      <c r="E621" s="42">
        <f>REGISTRO_B.DATOS!E622</f>
        <v>0</v>
      </c>
      <c r="F621" s="41">
        <f>REGISTRO_B.DATOS!F622</f>
        <v>0</v>
      </c>
      <c r="G621" s="41">
        <f>REGISTRO_B.DATOS!G622</f>
        <v>0</v>
      </c>
      <c r="H621" s="41">
        <f>REGISTRO_B.DATOS!H622</f>
        <v>0</v>
      </c>
      <c r="I621" s="41">
        <f>REGISTRO_B.DATOS!I622</f>
        <v>0</v>
      </c>
      <c r="J621" s="41">
        <f>REGISTRO_B.DATOS!J622</f>
        <v>0</v>
      </c>
      <c r="K621" s="43">
        <f>REGISTRO_B.DATOS!K622</f>
        <v>0</v>
      </c>
    </row>
    <row r="622" spans="1:11" x14ac:dyDescent="0.25">
      <c r="A622" s="40">
        <f>REGISTRO_B.DATOS!A623</f>
        <v>0</v>
      </c>
      <c r="B622" s="41">
        <f>REGISTRO_B.DATOS!B623</f>
        <v>0</v>
      </c>
      <c r="C622" s="41">
        <f>REGISTRO_B.DATOS!C623</f>
        <v>0</v>
      </c>
      <c r="D622" s="41">
        <f>REGISTRO_B.DATOS!D623</f>
        <v>0</v>
      </c>
      <c r="E622" s="42">
        <f>REGISTRO_B.DATOS!E623</f>
        <v>0</v>
      </c>
      <c r="F622" s="41">
        <f>REGISTRO_B.DATOS!F623</f>
        <v>0</v>
      </c>
      <c r="G622" s="41">
        <f>REGISTRO_B.DATOS!G623</f>
        <v>0</v>
      </c>
      <c r="H622" s="41">
        <f>REGISTRO_B.DATOS!H623</f>
        <v>0</v>
      </c>
      <c r="I622" s="41">
        <f>REGISTRO_B.DATOS!I623</f>
        <v>0</v>
      </c>
      <c r="J622" s="41">
        <f>REGISTRO_B.DATOS!J623</f>
        <v>0</v>
      </c>
      <c r="K622" s="43">
        <f>REGISTRO_B.DATOS!K623</f>
        <v>0</v>
      </c>
    </row>
    <row r="623" spans="1:11" x14ac:dyDescent="0.25">
      <c r="A623" s="40">
        <f>REGISTRO_B.DATOS!A624</f>
        <v>0</v>
      </c>
      <c r="B623" s="41">
        <f>REGISTRO_B.DATOS!B624</f>
        <v>0</v>
      </c>
      <c r="C623" s="41">
        <f>REGISTRO_B.DATOS!C624</f>
        <v>0</v>
      </c>
      <c r="D623" s="41">
        <f>REGISTRO_B.DATOS!D624</f>
        <v>0</v>
      </c>
      <c r="E623" s="42">
        <f>REGISTRO_B.DATOS!E624</f>
        <v>0</v>
      </c>
      <c r="F623" s="41">
        <f>REGISTRO_B.DATOS!F624</f>
        <v>0</v>
      </c>
      <c r="G623" s="41">
        <f>REGISTRO_B.DATOS!G624</f>
        <v>0</v>
      </c>
      <c r="H623" s="41">
        <f>REGISTRO_B.DATOS!H624</f>
        <v>0</v>
      </c>
      <c r="I623" s="41">
        <f>REGISTRO_B.DATOS!I624</f>
        <v>0</v>
      </c>
      <c r="J623" s="41">
        <f>REGISTRO_B.DATOS!J624</f>
        <v>0</v>
      </c>
      <c r="K623" s="43">
        <f>REGISTRO_B.DATOS!K624</f>
        <v>0</v>
      </c>
    </row>
    <row r="624" spans="1:11" x14ac:dyDescent="0.25">
      <c r="A624" s="40">
        <f>REGISTRO_B.DATOS!A625</f>
        <v>0</v>
      </c>
      <c r="B624" s="41">
        <f>REGISTRO_B.DATOS!B625</f>
        <v>0</v>
      </c>
      <c r="C624" s="41">
        <f>REGISTRO_B.DATOS!C625</f>
        <v>0</v>
      </c>
      <c r="D624" s="41">
        <f>REGISTRO_B.DATOS!D625</f>
        <v>0</v>
      </c>
      <c r="E624" s="42">
        <f>REGISTRO_B.DATOS!E625</f>
        <v>0</v>
      </c>
      <c r="F624" s="41">
        <f>REGISTRO_B.DATOS!F625</f>
        <v>0</v>
      </c>
      <c r="G624" s="41">
        <f>REGISTRO_B.DATOS!G625</f>
        <v>0</v>
      </c>
      <c r="H624" s="41">
        <f>REGISTRO_B.DATOS!H625</f>
        <v>0</v>
      </c>
      <c r="I624" s="41">
        <f>REGISTRO_B.DATOS!I625</f>
        <v>0</v>
      </c>
      <c r="J624" s="41">
        <f>REGISTRO_B.DATOS!J625</f>
        <v>0</v>
      </c>
      <c r="K624" s="43">
        <f>REGISTRO_B.DATOS!K625</f>
        <v>0</v>
      </c>
    </row>
    <row r="625" spans="1:11" x14ac:dyDescent="0.25">
      <c r="A625" s="40">
        <f>REGISTRO_B.DATOS!A626</f>
        <v>0</v>
      </c>
      <c r="B625" s="41">
        <f>REGISTRO_B.DATOS!B626</f>
        <v>0</v>
      </c>
      <c r="C625" s="41">
        <f>REGISTRO_B.DATOS!C626</f>
        <v>0</v>
      </c>
      <c r="D625" s="41">
        <f>REGISTRO_B.DATOS!D626</f>
        <v>0</v>
      </c>
      <c r="E625" s="42">
        <f>REGISTRO_B.DATOS!E626</f>
        <v>0</v>
      </c>
      <c r="F625" s="41">
        <f>REGISTRO_B.DATOS!F626</f>
        <v>0</v>
      </c>
      <c r="G625" s="41">
        <f>REGISTRO_B.DATOS!G626</f>
        <v>0</v>
      </c>
      <c r="H625" s="41">
        <f>REGISTRO_B.DATOS!H626</f>
        <v>0</v>
      </c>
      <c r="I625" s="41">
        <f>REGISTRO_B.DATOS!I626</f>
        <v>0</v>
      </c>
      <c r="J625" s="41">
        <f>REGISTRO_B.DATOS!J626</f>
        <v>0</v>
      </c>
      <c r="K625" s="43">
        <f>REGISTRO_B.DATOS!K626</f>
        <v>0</v>
      </c>
    </row>
    <row r="626" spans="1:11" x14ac:dyDescent="0.25">
      <c r="A626" s="40">
        <f>REGISTRO_B.DATOS!A627</f>
        <v>0</v>
      </c>
      <c r="B626" s="41">
        <f>REGISTRO_B.DATOS!B627</f>
        <v>0</v>
      </c>
      <c r="C626" s="41">
        <f>REGISTRO_B.DATOS!C627</f>
        <v>0</v>
      </c>
      <c r="D626" s="41">
        <f>REGISTRO_B.DATOS!D627</f>
        <v>0</v>
      </c>
      <c r="E626" s="42">
        <f>REGISTRO_B.DATOS!E627</f>
        <v>0</v>
      </c>
      <c r="F626" s="41">
        <f>REGISTRO_B.DATOS!F627</f>
        <v>0</v>
      </c>
      <c r="G626" s="41">
        <f>REGISTRO_B.DATOS!G627</f>
        <v>0</v>
      </c>
      <c r="H626" s="41">
        <f>REGISTRO_B.DATOS!H627</f>
        <v>0</v>
      </c>
      <c r="I626" s="41">
        <f>REGISTRO_B.DATOS!I627</f>
        <v>0</v>
      </c>
      <c r="J626" s="41">
        <f>REGISTRO_B.DATOS!J627</f>
        <v>0</v>
      </c>
      <c r="K626" s="43">
        <f>REGISTRO_B.DATOS!K627</f>
        <v>0</v>
      </c>
    </row>
    <row r="627" spans="1:11" x14ac:dyDescent="0.25">
      <c r="A627" s="40">
        <f>REGISTRO_B.DATOS!A628</f>
        <v>0</v>
      </c>
      <c r="B627" s="41">
        <f>REGISTRO_B.DATOS!B628</f>
        <v>0</v>
      </c>
      <c r="C627" s="41">
        <f>REGISTRO_B.DATOS!C628</f>
        <v>0</v>
      </c>
      <c r="D627" s="41">
        <f>REGISTRO_B.DATOS!D628</f>
        <v>0</v>
      </c>
      <c r="E627" s="42">
        <f>REGISTRO_B.DATOS!E628</f>
        <v>0</v>
      </c>
      <c r="F627" s="41">
        <f>REGISTRO_B.DATOS!F628</f>
        <v>0</v>
      </c>
      <c r="G627" s="41">
        <f>REGISTRO_B.DATOS!G628</f>
        <v>0</v>
      </c>
      <c r="H627" s="41">
        <f>REGISTRO_B.DATOS!H628</f>
        <v>0</v>
      </c>
      <c r="I627" s="41">
        <f>REGISTRO_B.DATOS!I628</f>
        <v>0</v>
      </c>
      <c r="J627" s="41">
        <f>REGISTRO_B.DATOS!J628</f>
        <v>0</v>
      </c>
      <c r="K627" s="43">
        <f>REGISTRO_B.DATOS!K628</f>
        <v>0</v>
      </c>
    </row>
    <row r="628" spans="1:11" x14ac:dyDescent="0.25">
      <c r="A628" s="40">
        <f>REGISTRO_B.DATOS!A629</f>
        <v>0</v>
      </c>
      <c r="B628" s="41">
        <f>REGISTRO_B.DATOS!B629</f>
        <v>0</v>
      </c>
      <c r="C628" s="41">
        <f>REGISTRO_B.DATOS!C629</f>
        <v>0</v>
      </c>
      <c r="D628" s="41">
        <f>REGISTRO_B.DATOS!D629</f>
        <v>0</v>
      </c>
      <c r="E628" s="42">
        <f>REGISTRO_B.DATOS!E629</f>
        <v>0</v>
      </c>
      <c r="F628" s="41">
        <f>REGISTRO_B.DATOS!F629</f>
        <v>0</v>
      </c>
      <c r="G628" s="41">
        <f>REGISTRO_B.DATOS!G629</f>
        <v>0</v>
      </c>
      <c r="H628" s="41">
        <f>REGISTRO_B.DATOS!H629</f>
        <v>0</v>
      </c>
      <c r="I628" s="41">
        <f>REGISTRO_B.DATOS!I629</f>
        <v>0</v>
      </c>
      <c r="J628" s="41">
        <f>REGISTRO_B.DATOS!J629</f>
        <v>0</v>
      </c>
      <c r="K628" s="43">
        <f>REGISTRO_B.DATOS!K629</f>
        <v>0</v>
      </c>
    </row>
    <row r="629" spans="1:11" x14ac:dyDescent="0.25">
      <c r="A629" s="40">
        <f>REGISTRO_B.DATOS!A630</f>
        <v>0</v>
      </c>
      <c r="B629" s="41">
        <f>REGISTRO_B.DATOS!B630</f>
        <v>0</v>
      </c>
      <c r="C629" s="41">
        <f>REGISTRO_B.DATOS!C630</f>
        <v>0</v>
      </c>
      <c r="D629" s="41">
        <f>REGISTRO_B.DATOS!D630</f>
        <v>0</v>
      </c>
      <c r="E629" s="42">
        <f>REGISTRO_B.DATOS!E630</f>
        <v>0</v>
      </c>
      <c r="F629" s="41">
        <f>REGISTRO_B.DATOS!F630</f>
        <v>0</v>
      </c>
      <c r="G629" s="41">
        <f>REGISTRO_B.DATOS!G630</f>
        <v>0</v>
      </c>
      <c r="H629" s="41">
        <f>REGISTRO_B.DATOS!H630</f>
        <v>0</v>
      </c>
      <c r="I629" s="41">
        <f>REGISTRO_B.DATOS!I630</f>
        <v>0</v>
      </c>
      <c r="J629" s="41">
        <f>REGISTRO_B.DATOS!J630</f>
        <v>0</v>
      </c>
      <c r="K629" s="43">
        <f>REGISTRO_B.DATOS!K630</f>
        <v>0</v>
      </c>
    </row>
    <row r="630" spans="1:11" x14ac:dyDescent="0.25">
      <c r="A630" s="40">
        <f>REGISTRO_B.DATOS!A631</f>
        <v>0</v>
      </c>
      <c r="B630" s="41">
        <f>REGISTRO_B.DATOS!B631</f>
        <v>0</v>
      </c>
      <c r="C630" s="41">
        <f>REGISTRO_B.DATOS!C631</f>
        <v>0</v>
      </c>
      <c r="D630" s="41">
        <f>REGISTRO_B.DATOS!D631</f>
        <v>0</v>
      </c>
      <c r="E630" s="42">
        <f>REGISTRO_B.DATOS!E631</f>
        <v>0</v>
      </c>
      <c r="F630" s="41">
        <f>REGISTRO_B.DATOS!F631</f>
        <v>0</v>
      </c>
      <c r="G630" s="41">
        <f>REGISTRO_B.DATOS!G631</f>
        <v>0</v>
      </c>
      <c r="H630" s="41">
        <f>REGISTRO_B.DATOS!H631</f>
        <v>0</v>
      </c>
      <c r="I630" s="41">
        <f>REGISTRO_B.DATOS!I631</f>
        <v>0</v>
      </c>
      <c r="J630" s="41">
        <f>REGISTRO_B.DATOS!J631</f>
        <v>0</v>
      </c>
      <c r="K630" s="43">
        <f>REGISTRO_B.DATOS!K631</f>
        <v>0</v>
      </c>
    </row>
    <row r="631" spans="1:11" x14ac:dyDescent="0.25">
      <c r="A631" s="40">
        <f>REGISTRO_B.DATOS!A632</f>
        <v>0</v>
      </c>
      <c r="B631" s="41">
        <f>REGISTRO_B.DATOS!B632</f>
        <v>0</v>
      </c>
      <c r="C631" s="41">
        <f>REGISTRO_B.DATOS!C632</f>
        <v>0</v>
      </c>
      <c r="D631" s="41">
        <f>REGISTRO_B.DATOS!D632</f>
        <v>0</v>
      </c>
      <c r="E631" s="42">
        <f>REGISTRO_B.DATOS!E632</f>
        <v>0</v>
      </c>
      <c r="F631" s="41">
        <f>REGISTRO_B.DATOS!F632</f>
        <v>0</v>
      </c>
      <c r="G631" s="41">
        <f>REGISTRO_B.DATOS!G632</f>
        <v>0</v>
      </c>
      <c r="H631" s="41">
        <f>REGISTRO_B.DATOS!H632</f>
        <v>0</v>
      </c>
      <c r="I631" s="41">
        <f>REGISTRO_B.DATOS!I632</f>
        <v>0</v>
      </c>
      <c r="J631" s="41">
        <f>REGISTRO_B.DATOS!J632</f>
        <v>0</v>
      </c>
      <c r="K631" s="43">
        <f>REGISTRO_B.DATOS!K632</f>
        <v>0</v>
      </c>
    </row>
    <row r="632" spans="1:11" x14ac:dyDescent="0.25">
      <c r="A632" s="40">
        <f>REGISTRO_B.DATOS!A633</f>
        <v>0</v>
      </c>
      <c r="B632" s="41">
        <f>REGISTRO_B.DATOS!B633</f>
        <v>0</v>
      </c>
      <c r="C632" s="41">
        <f>REGISTRO_B.DATOS!C633</f>
        <v>0</v>
      </c>
      <c r="D632" s="41">
        <f>REGISTRO_B.DATOS!D633</f>
        <v>0</v>
      </c>
      <c r="E632" s="42">
        <f>REGISTRO_B.DATOS!E633</f>
        <v>0</v>
      </c>
      <c r="F632" s="41">
        <f>REGISTRO_B.DATOS!F633</f>
        <v>0</v>
      </c>
      <c r="G632" s="41">
        <f>REGISTRO_B.DATOS!G633</f>
        <v>0</v>
      </c>
      <c r="H632" s="41">
        <f>REGISTRO_B.DATOS!H633</f>
        <v>0</v>
      </c>
      <c r="I632" s="41">
        <f>REGISTRO_B.DATOS!I633</f>
        <v>0</v>
      </c>
      <c r="J632" s="41">
        <f>REGISTRO_B.DATOS!J633</f>
        <v>0</v>
      </c>
      <c r="K632" s="43">
        <f>REGISTRO_B.DATOS!K633</f>
        <v>0</v>
      </c>
    </row>
    <row r="633" spans="1:11" x14ac:dyDescent="0.25">
      <c r="A633" s="40">
        <f>REGISTRO_B.DATOS!A634</f>
        <v>0</v>
      </c>
      <c r="B633" s="41">
        <f>REGISTRO_B.DATOS!B634</f>
        <v>0</v>
      </c>
      <c r="C633" s="41">
        <f>REGISTRO_B.DATOS!C634</f>
        <v>0</v>
      </c>
      <c r="D633" s="41">
        <f>REGISTRO_B.DATOS!D634</f>
        <v>0</v>
      </c>
      <c r="E633" s="42">
        <f>REGISTRO_B.DATOS!E634</f>
        <v>0</v>
      </c>
      <c r="F633" s="41">
        <f>REGISTRO_B.DATOS!F634</f>
        <v>0</v>
      </c>
      <c r="G633" s="41">
        <f>REGISTRO_B.DATOS!G634</f>
        <v>0</v>
      </c>
      <c r="H633" s="41">
        <f>REGISTRO_B.DATOS!H634</f>
        <v>0</v>
      </c>
      <c r="I633" s="41">
        <f>REGISTRO_B.DATOS!I634</f>
        <v>0</v>
      </c>
      <c r="J633" s="41">
        <f>REGISTRO_B.DATOS!J634</f>
        <v>0</v>
      </c>
      <c r="K633" s="43">
        <f>REGISTRO_B.DATOS!K634</f>
        <v>0</v>
      </c>
    </row>
    <row r="634" spans="1:11" x14ac:dyDescent="0.25">
      <c r="A634" s="40">
        <f>REGISTRO_B.DATOS!A635</f>
        <v>0</v>
      </c>
      <c r="B634" s="41">
        <f>REGISTRO_B.DATOS!B635</f>
        <v>0</v>
      </c>
      <c r="C634" s="41">
        <f>REGISTRO_B.DATOS!C635</f>
        <v>0</v>
      </c>
      <c r="D634" s="41">
        <f>REGISTRO_B.DATOS!D635</f>
        <v>0</v>
      </c>
      <c r="E634" s="42">
        <f>REGISTRO_B.DATOS!E635</f>
        <v>0</v>
      </c>
      <c r="F634" s="41">
        <f>REGISTRO_B.DATOS!F635</f>
        <v>0</v>
      </c>
      <c r="G634" s="41">
        <f>REGISTRO_B.DATOS!G635</f>
        <v>0</v>
      </c>
      <c r="H634" s="41">
        <f>REGISTRO_B.DATOS!H635</f>
        <v>0</v>
      </c>
      <c r="I634" s="41">
        <f>REGISTRO_B.DATOS!I635</f>
        <v>0</v>
      </c>
      <c r="J634" s="41">
        <f>REGISTRO_B.DATOS!J635</f>
        <v>0</v>
      </c>
      <c r="K634" s="43">
        <f>REGISTRO_B.DATOS!K635</f>
        <v>0</v>
      </c>
    </row>
    <row r="635" spans="1:11" x14ac:dyDescent="0.25">
      <c r="A635" s="40">
        <f>REGISTRO_B.DATOS!A636</f>
        <v>0</v>
      </c>
      <c r="B635" s="41">
        <f>REGISTRO_B.DATOS!B636</f>
        <v>0</v>
      </c>
      <c r="C635" s="41">
        <f>REGISTRO_B.DATOS!C636</f>
        <v>0</v>
      </c>
      <c r="D635" s="41">
        <f>REGISTRO_B.DATOS!D636</f>
        <v>0</v>
      </c>
      <c r="E635" s="42">
        <f>REGISTRO_B.DATOS!E636</f>
        <v>0</v>
      </c>
      <c r="F635" s="41">
        <f>REGISTRO_B.DATOS!F636</f>
        <v>0</v>
      </c>
      <c r="G635" s="41">
        <f>REGISTRO_B.DATOS!G636</f>
        <v>0</v>
      </c>
      <c r="H635" s="41">
        <f>REGISTRO_B.DATOS!H636</f>
        <v>0</v>
      </c>
      <c r="I635" s="41">
        <f>REGISTRO_B.DATOS!I636</f>
        <v>0</v>
      </c>
      <c r="J635" s="41">
        <f>REGISTRO_B.DATOS!J636</f>
        <v>0</v>
      </c>
      <c r="K635" s="43">
        <f>REGISTRO_B.DATOS!K636</f>
        <v>0</v>
      </c>
    </row>
    <row r="636" spans="1:11" x14ac:dyDescent="0.25">
      <c r="A636" s="40">
        <f>REGISTRO_B.DATOS!A637</f>
        <v>0</v>
      </c>
      <c r="B636" s="41">
        <f>REGISTRO_B.DATOS!B637</f>
        <v>0</v>
      </c>
      <c r="C636" s="41">
        <f>REGISTRO_B.DATOS!C637</f>
        <v>0</v>
      </c>
      <c r="D636" s="41">
        <f>REGISTRO_B.DATOS!D637</f>
        <v>0</v>
      </c>
      <c r="E636" s="42">
        <f>REGISTRO_B.DATOS!E637</f>
        <v>0</v>
      </c>
      <c r="F636" s="41">
        <f>REGISTRO_B.DATOS!F637</f>
        <v>0</v>
      </c>
      <c r="G636" s="41">
        <f>REGISTRO_B.DATOS!G637</f>
        <v>0</v>
      </c>
      <c r="H636" s="41">
        <f>REGISTRO_B.DATOS!H637</f>
        <v>0</v>
      </c>
      <c r="I636" s="41">
        <f>REGISTRO_B.DATOS!I637</f>
        <v>0</v>
      </c>
      <c r="J636" s="41">
        <f>REGISTRO_B.DATOS!J637</f>
        <v>0</v>
      </c>
      <c r="K636" s="43">
        <f>REGISTRO_B.DATOS!K637</f>
        <v>0</v>
      </c>
    </row>
    <row r="637" spans="1:11" x14ac:dyDescent="0.25">
      <c r="A637" s="40">
        <f>REGISTRO_B.DATOS!A638</f>
        <v>0</v>
      </c>
      <c r="B637" s="41">
        <f>REGISTRO_B.DATOS!B638</f>
        <v>0</v>
      </c>
      <c r="C637" s="41">
        <f>REGISTRO_B.DATOS!C638</f>
        <v>0</v>
      </c>
      <c r="D637" s="41">
        <f>REGISTRO_B.DATOS!D638</f>
        <v>0</v>
      </c>
      <c r="E637" s="42">
        <f>REGISTRO_B.DATOS!E638</f>
        <v>0</v>
      </c>
      <c r="F637" s="41">
        <f>REGISTRO_B.DATOS!F638</f>
        <v>0</v>
      </c>
      <c r="G637" s="41">
        <f>REGISTRO_B.DATOS!G638</f>
        <v>0</v>
      </c>
      <c r="H637" s="41">
        <f>REGISTRO_B.DATOS!H638</f>
        <v>0</v>
      </c>
      <c r="I637" s="41">
        <f>REGISTRO_B.DATOS!I638</f>
        <v>0</v>
      </c>
      <c r="J637" s="41">
        <f>REGISTRO_B.DATOS!J638</f>
        <v>0</v>
      </c>
      <c r="K637" s="43">
        <f>REGISTRO_B.DATOS!K638</f>
        <v>0</v>
      </c>
    </row>
    <row r="638" spans="1:11" x14ac:dyDescent="0.25">
      <c r="A638" s="40">
        <f>REGISTRO_B.DATOS!A639</f>
        <v>0</v>
      </c>
      <c r="B638" s="41">
        <f>REGISTRO_B.DATOS!B639</f>
        <v>0</v>
      </c>
      <c r="C638" s="41">
        <f>REGISTRO_B.DATOS!C639</f>
        <v>0</v>
      </c>
      <c r="D638" s="41">
        <f>REGISTRO_B.DATOS!D639</f>
        <v>0</v>
      </c>
      <c r="E638" s="42">
        <f>REGISTRO_B.DATOS!E639</f>
        <v>0</v>
      </c>
      <c r="F638" s="41">
        <f>REGISTRO_B.DATOS!F639</f>
        <v>0</v>
      </c>
      <c r="G638" s="41">
        <f>REGISTRO_B.DATOS!G639</f>
        <v>0</v>
      </c>
      <c r="H638" s="41">
        <f>REGISTRO_B.DATOS!H639</f>
        <v>0</v>
      </c>
      <c r="I638" s="41">
        <f>REGISTRO_B.DATOS!I639</f>
        <v>0</v>
      </c>
      <c r="J638" s="41">
        <f>REGISTRO_B.DATOS!J639</f>
        <v>0</v>
      </c>
      <c r="K638" s="43">
        <f>REGISTRO_B.DATOS!K639</f>
        <v>0</v>
      </c>
    </row>
    <row r="639" spans="1:11" x14ac:dyDescent="0.25">
      <c r="A639" s="40">
        <f>REGISTRO_B.DATOS!A640</f>
        <v>0</v>
      </c>
      <c r="B639" s="41">
        <f>REGISTRO_B.DATOS!B640</f>
        <v>0</v>
      </c>
      <c r="C639" s="41">
        <f>REGISTRO_B.DATOS!C640</f>
        <v>0</v>
      </c>
      <c r="D639" s="41">
        <f>REGISTRO_B.DATOS!D640</f>
        <v>0</v>
      </c>
      <c r="E639" s="42">
        <f>REGISTRO_B.DATOS!E640</f>
        <v>0</v>
      </c>
      <c r="F639" s="41">
        <f>REGISTRO_B.DATOS!F640</f>
        <v>0</v>
      </c>
      <c r="G639" s="41">
        <f>REGISTRO_B.DATOS!G640</f>
        <v>0</v>
      </c>
      <c r="H639" s="41">
        <f>REGISTRO_B.DATOS!H640</f>
        <v>0</v>
      </c>
      <c r="I639" s="41">
        <f>REGISTRO_B.DATOS!I640</f>
        <v>0</v>
      </c>
      <c r="J639" s="41">
        <f>REGISTRO_B.DATOS!J640</f>
        <v>0</v>
      </c>
      <c r="K639" s="43">
        <f>REGISTRO_B.DATOS!K640</f>
        <v>0</v>
      </c>
    </row>
    <row r="640" spans="1:11" x14ac:dyDescent="0.25">
      <c r="A640" s="40">
        <f>REGISTRO_B.DATOS!A641</f>
        <v>0</v>
      </c>
      <c r="B640" s="41">
        <f>REGISTRO_B.DATOS!B641</f>
        <v>0</v>
      </c>
      <c r="C640" s="41">
        <f>REGISTRO_B.DATOS!C641</f>
        <v>0</v>
      </c>
      <c r="D640" s="41">
        <f>REGISTRO_B.DATOS!D641</f>
        <v>0</v>
      </c>
      <c r="E640" s="42">
        <f>REGISTRO_B.DATOS!E641</f>
        <v>0</v>
      </c>
      <c r="F640" s="41">
        <f>REGISTRO_B.DATOS!F641</f>
        <v>0</v>
      </c>
      <c r="G640" s="41">
        <f>REGISTRO_B.DATOS!G641</f>
        <v>0</v>
      </c>
      <c r="H640" s="41">
        <f>REGISTRO_B.DATOS!H641</f>
        <v>0</v>
      </c>
      <c r="I640" s="41">
        <f>REGISTRO_B.DATOS!I641</f>
        <v>0</v>
      </c>
      <c r="J640" s="41">
        <f>REGISTRO_B.DATOS!J641</f>
        <v>0</v>
      </c>
      <c r="K640" s="43">
        <f>REGISTRO_B.DATOS!K641</f>
        <v>0</v>
      </c>
    </row>
    <row r="641" spans="1:11" x14ac:dyDescent="0.25">
      <c r="A641" s="40">
        <f>REGISTRO_B.DATOS!A642</f>
        <v>0</v>
      </c>
      <c r="B641" s="41">
        <f>REGISTRO_B.DATOS!B642</f>
        <v>0</v>
      </c>
      <c r="C641" s="41">
        <f>REGISTRO_B.DATOS!C642</f>
        <v>0</v>
      </c>
      <c r="D641" s="41">
        <f>REGISTRO_B.DATOS!D642</f>
        <v>0</v>
      </c>
      <c r="E641" s="42">
        <f>REGISTRO_B.DATOS!E642</f>
        <v>0</v>
      </c>
      <c r="F641" s="41">
        <f>REGISTRO_B.DATOS!F642</f>
        <v>0</v>
      </c>
      <c r="G641" s="41">
        <f>REGISTRO_B.DATOS!G642</f>
        <v>0</v>
      </c>
      <c r="H641" s="41">
        <f>REGISTRO_B.DATOS!H642</f>
        <v>0</v>
      </c>
      <c r="I641" s="41">
        <f>REGISTRO_B.DATOS!I642</f>
        <v>0</v>
      </c>
      <c r="J641" s="41">
        <f>REGISTRO_B.DATOS!J642</f>
        <v>0</v>
      </c>
      <c r="K641" s="43">
        <f>REGISTRO_B.DATOS!K642</f>
        <v>0</v>
      </c>
    </row>
    <row r="642" spans="1:11" x14ac:dyDescent="0.25">
      <c r="A642" s="40">
        <f>REGISTRO_B.DATOS!A643</f>
        <v>0</v>
      </c>
      <c r="B642" s="41">
        <f>REGISTRO_B.DATOS!B643</f>
        <v>0</v>
      </c>
      <c r="C642" s="41">
        <f>REGISTRO_B.DATOS!C643</f>
        <v>0</v>
      </c>
      <c r="D642" s="41">
        <f>REGISTRO_B.DATOS!D643</f>
        <v>0</v>
      </c>
      <c r="E642" s="42">
        <f>REGISTRO_B.DATOS!E643</f>
        <v>0</v>
      </c>
      <c r="F642" s="41">
        <f>REGISTRO_B.DATOS!F643</f>
        <v>0</v>
      </c>
      <c r="G642" s="41">
        <f>REGISTRO_B.DATOS!G643</f>
        <v>0</v>
      </c>
      <c r="H642" s="41">
        <f>REGISTRO_B.DATOS!H643</f>
        <v>0</v>
      </c>
      <c r="I642" s="41">
        <f>REGISTRO_B.DATOS!I643</f>
        <v>0</v>
      </c>
      <c r="J642" s="41">
        <f>REGISTRO_B.DATOS!J643</f>
        <v>0</v>
      </c>
      <c r="K642" s="43">
        <f>REGISTRO_B.DATOS!K643</f>
        <v>0</v>
      </c>
    </row>
    <row r="643" spans="1:11" x14ac:dyDescent="0.25">
      <c r="A643" s="40">
        <f>REGISTRO_B.DATOS!A644</f>
        <v>0</v>
      </c>
      <c r="B643" s="41">
        <f>REGISTRO_B.DATOS!B644</f>
        <v>0</v>
      </c>
      <c r="C643" s="41">
        <f>REGISTRO_B.DATOS!C644</f>
        <v>0</v>
      </c>
      <c r="D643" s="41">
        <f>REGISTRO_B.DATOS!D644</f>
        <v>0</v>
      </c>
      <c r="E643" s="42">
        <f>REGISTRO_B.DATOS!E644</f>
        <v>0</v>
      </c>
      <c r="F643" s="41">
        <f>REGISTRO_B.DATOS!F644</f>
        <v>0</v>
      </c>
      <c r="G643" s="41">
        <f>REGISTRO_B.DATOS!G644</f>
        <v>0</v>
      </c>
      <c r="H643" s="41">
        <f>REGISTRO_B.DATOS!H644</f>
        <v>0</v>
      </c>
      <c r="I643" s="41">
        <f>REGISTRO_B.DATOS!I644</f>
        <v>0</v>
      </c>
      <c r="J643" s="41">
        <f>REGISTRO_B.DATOS!J644</f>
        <v>0</v>
      </c>
      <c r="K643" s="43">
        <f>REGISTRO_B.DATOS!K644</f>
        <v>0</v>
      </c>
    </row>
    <row r="644" spans="1:11" x14ac:dyDescent="0.25">
      <c r="A644" s="40">
        <f>REGISTRO_B.DATOS!A645</f>
        <v>0</v>
      </c>
      <c r="B644" s="41">
        <f>REGISTRO_B.DATOS!B645</f>
        <v>0</v>
      </c>
      <c r="C644" s="41">
        <f>REGISTRO_B.DATOS!C645</f>
        <v>0</v>
      </c>
      <c r="D644" s="41">
        <f>REGISTRO_B.DATOS!D645</f>
        <v>0</v>
      </c>
      <c r="E644" s="42">
        <f>REGISTRO_B.DATOS!E645</f>
        <v>0</v>
      </c>
      <c r="F644" s="41">
        <f>REGISTRO_B.DATOS!F645</f>
        <v>0</v>
      </c>
      <c r="G644" s="41">
        <f>REGISTRO_B.DATOS!G645</f>
        <v>0</v>
      </c>
      <c r="H644" s="41">
        <f>REGISTRO_B.DATOS!H645</f>
        <v>0</v>
      </c>
      <c r="I644" s="41">
        <f>REGISTRO_B.DATOS!I645</f>
        <v>0</v>
      </c>
      <c r="J644" s="41">
        <f>REGISTRO_B.DATOS!J645</f>
        <v>0</v>
      </c>
      <c r="K644" s="43">
        <f>REGISTRO_B.DATOS!K645</f>
        <v>0</v>
      </c>
    </row>
    <row r="645" spans="1:11" x14ac:dyDescent="0.25">
      <c r="A645" s="40">
        <f>REGISTRO_B.DATOS!A646</f>
        <v>0</v>
      </c>
      <c r="B645" s="41">
        <f>REGISTRO_B.DATOS!B646</f>
        <v>0</v>
      </c>
      <c r="C645" s="41">
        <f>REGISTRO_B.DATOS!C646</f>
        <v>0</v>
      </c>
      <c r="D645" s="41">
        <f>REGISTRO_B.DATOS!D646</f>
        <v>0</v>
      </c>
      <c r="E645" s="42">
        <f>REGISTRO_B.DATOS!E646</f>
        <v>0</v>
      </c>
      <c r="F645" s="41">
        <f>REGISTRO_B.DATOS!F646</f>
        <v>0</v>
      </c>
      <c r="G645" s="41">
        <f>REGISTRO_B.DATOS!G646</f>
        <v>0</v>
      </c>
      <c r="H645" s="41">
        <f>REGISTRO_B.DATOS!H646</f>
        <v>0</v>
      </c>
      <c r="I645" s="41">
        <f>REGISTRO_B.DATOS!I646</f>
        <v>0</v>
      </c>
      <c r="J645" s="41">
        <f>REGISTRO_B.DATOS!J646</f>
        <v>0</v>
      </c>
      <c r="K645" s="43">
        <f>REGISTRO_B.DATOS!K646</f>
        <v>0</v>
      </c>
    </row>
    <row r="646" spans="1:11" x14ac:dyDescent="0.25">
      <c r="A646" s="40">
        <f>REGISTRO_B.DATOS!A647</f>
        <v>0</v>
      </c>
      <c r="B646" s="41">
        <f>REGISTRO_B.DATOS!B647</f>
        <v>0</v>
      </c>
      <c r="C646" s="41">
        <f>REGISTRO_B.DATOS!C647</f>
        <v>0</v>
      </c>
      <c r="D646" s="41">
        <f>REGISTRO_B.DATOS!D647</f>
        <v>0</v>
      </c>
      <c r="E646" s="42">
        <f>REGISTRO_B.DATOS!E647</f>
        <v>0</v>
      </c>
      <c r="F646" s="41">
        <f>REGISTRO_B.DATOS!F647</f>
        <v>0</v>
      </c>
      <c r="G646" s="41">
        <f>REGISTRO_B.DATOS!G647</f>
        <v>0</v>
      </c>
      <c r="H646" s="41">
        <f>REGISTRO_B.DATOS!H647</f>
        <v>0</v>
      </c>
      <c r="I646" s="41">
        <f>REGISTRO_B.DATOS!I647</f>
        <v>0</v>
      </c>
      <c r="J646" s="41">
        <f>REGISTRO_B.DATOS!J647</f>
        <v>0</v>
      </c>
      <c r="K646" s="43">
        <f>REGISTRO_B.DATOS!K647</f>
        <v>0</v>
      </c>
    </row>
    <row r="647" spans="1:11" x14ac:dyDescent="0.25">
      <c r="A647" s="40">
        <f>REGISTRO_B.DATOS!A648</f>
        <v>0</v>
      </c>
      <c r="B647" s="41">
        <f>REGISTRO_B.DATOS!B648</f>
        <v>0</v>
      </c>
      <c r="C647" s="41">
        <f>REGISTRO_B.DATOS!C648</f>
        <v>0</v>
      </c>
      <c r="D647" s="41">
        <f>REGISTRO_B.DATOS!D648</f>
        <v>0</v>
      </c>
      <c r="E647" s="42">
        <f>REGISTRO_B.DATOS!E648</f>
        <v>0</v>
      </c>
      <c r="F647" s="41">
        <f>REGISTRO_B.DATOS!F648</f>
        <v>0</v>
      </c>
      <c r="G647" s="41">
        <f>REGISTRO_B.DATOS!G648</f>
        <v>0</v>
      </c>
      <c r="H647" s="41">
        <f>REGISTRO_B.DATOS!H648</f>
        <v>0</v>
      </c>
      <c r="I647" s="41">
        <f>REGISTRO_B.DATOS!I648</f>
        <v>0</v>
      </c>
      <c r="J647" s="41">
        <f>REGISTRO_B.DATOS!J648</f>
        <v>0</v>
      </c>
      <c r="K647" s="43">
        <f>REGISTRO_B.DATOS!K648</f>
        <v>0</v>
      </c>
    </row>
    <row r="648" spans="1:11" x14ac:dyDescent="0.25">
      <c r="A648" s="40">
        <f>REGISTRO_B.DATOS!A649</f>
        <v>0</v>
      </c>
      <c r="B648" s="41">
        <f>REGISTRO_B.DATOS!B649</f>
        <v>0</v>
      </c>
      <c r="C648" s="41">
        <f>REGISTRO_B.DATOS!C649</f>
        <v>0</v>
      </c>
      <c r="D648" s="41">
        <f>REGISTRO_B.DATOS!D649</f>
        <v>0</v>
      </c>
      <c r="E648" s="42">
        <f>REGISTRO_B.DATOS!E649</f>
        <v>0</v>
      </c>
      <c r="F648" s="41">
        <f>REGISTRO_B.DATOS!F649</f>
        <v>0</v>
      </c>
      <c r="G648" s="41">
        <f>REGISTRO_B.DATOS!G649</f>
        <v>0</v>
      </c>
      <c r="H648" s="41">
        <f>REGISTRO_B.DATOS!H649</f>
        <v>0</v>
      </c>
      <c r="I648" s="41">
        <f>REGISTRO_B.DATOS!I649</f>
        <v>0</v>
      </c>
      <c r="J648" s="41">
        <f>REGISTRO_B.DATOS!J649</f>
        <v>0</v>
      </c>
      <c r="K648" s="43">
        <f>REGISTRO_B.DATOS!K649</f>
        <v>0</v>
      </c>
    </row>
    <row r="649" spans="1:11" x14ac:dyDescent="0.25">
      <c r="A649" s="40">
        <f>REGISTRO_B.DATOS!A650</f>
        <v>0</v>
      </c>
      <c r="B649" s="41">
        <f>REGISTRO_B.DATOS!B650</f>
        <v>0</v>
      </c>
      <c r="C649" s="41">
        <f>REGISTRO_B.DATOS!C650</f>
        <v>0</v>
      </c>
      <c r="D649" s="41">
        <f>REGISTRO_B.DATOS!D650</f>
        <v>0</v>
      </c>
      <c r="E649" s="42">
        <f>REGISTRO_B.DATOS!E650</f>
        <v>0</v>
      </c>
      <c r="F649" s="41">
        <f>REGISTRO_B.DATOS!F650</f>
        <v>0</v>
      </c>
      <c r="G649" s="41">
        <f>REGISTRO_B.DATOS!G650</f>
        <v>0</v>
      </c>
      <c r="H649" s="41">
        <f>REGISTRO_B.DATOS!H650</f>
        <v>0</v>
      </c>
      <c r="I649" s="41">
        <f>REGISTRO_B.DATOS!I650</f>
        <v>0</v>
      </c>
      <c r="J649" s="41">
        <f>REGISTRO_B.DATOS!J650</f>
        <v>0</v>
      </c>
      <c r="K649" s="43">
        <f>REGISTRO_B.DATOS!K650</f>
        <v>0</v>
      </c>
    </row>
    <row r="650" spans="1:11" x14ac:dyDescent="0.25">
      <c r="A650" s="40">
        <f>REGISTRO_B.DATOS!A651</f>
        <v>0</v>
      </c>
      <c r="B650" s="41">
        <f>REGISTRO_B.DATOS!B651</f>
        <v>0</v>
      </c>
      <c r="C650" s="41">
        <f>REGISTRO_B.DATOS!C651</f>
        <v>0</v>
      </c>
      <c r="D650" s="41">
        <f>REGISTRO_B.DATOS!D651</f>
        <v>0</v>
      </c>
      <c r="E650" s="42">
        <f>REGISTRO_B.DATOS!E651</f>
        <v>0</v>
      </c>
      <c r="F650" s="41">
        <f>REGISTRO_B.DATOS!F651</f>
        <v>0</v>
      </c>
      <c r="G650" s="41">
        <f>REGISTRO_B.DATOS!G651</f>
        <v>0</v>
      </c>
      <c r="H650" s="41">
        <f>REGISTRO_B.DATOS!H651</f>
        <v>0</v>
      </c>
      <c r="I650" s="41">
        <f>REGISTRO_B.DATOS!I651</f>
        <v>0</v>
      </c>
      <c r="J650" s="41">
        <f>REGISTRO_B.DATOS!J651</f>
        <v>0</v>
      </c>
      <c r="K650" s="43">
        <f>REGISTRO_B.DATOS!K651</f>
        <v>0</v>
      </c>
    </row>
    <row r="651" spans="1:11" x14ac:dyDescent="0.25">
      <c r="A651" s="40">
        <f>REGISTRO_B.DATOS!A652</f>
        <v>0</v>
      </c>
      <c r="B651" s="41">
        <f>REGISTRO_B.DATOS!B652</f>
        <v>0</v>
      </c>
      <c r="C651" s="41">
        <f>REGISTRO_B.DATOS!C652</f>
        <v>0</v>
      </c>
      <c r="D651" s="41">
        <f>REGISTRO_B.DATOS!D652</f>
        <v>0</v>
      </c>
      <c r="E651" s="42">
        <f>REGISTRO_B.DATOS!E652</f>
        <v>0</v>
      </c>
      <c r="F651" s="41">
        <f>REGISTRO_B.DATOS!F652</f>
        <v>0</v>
      </c>
      <c r="G651" s="41">
        <f>REGISTRO_B.DATOS!G652</f>
        <v>0</v>
      </c>
      <c r="H651" s="41">
        <f>REGISTRO_B.DATOS!H652</f>
        <v>0</v>
      </c>
      <c r="I651" s="41">
        <f>REGISTRO_B.DATOS!I652</f>
        <v>0</v>
      </c>
      <c r="J651" s="41">
        <f>REGISTRO_B.DATOS!J652</f>
        <v>0</v>
      </c>
      <c r="K651" s="43">
        <f>REGISTRO_B.DATOS!K652</f>
        <v>0</v>
      </c>
    </row>
    <row r="652" spans="1:11" x14ac:dyDescent="0.25">
      <c r="A652" s="40">
        <f>REGISTRO_B.DATOS!A653</f>
        <v>0</v>
      </c>
      <c r="B652" s="41">
        <f>REGISTRO_B.DATOS!B653</f>
        <v>0</v>
      </c>
      <c r="C652" s="41">
        <f>REGISTRO_B.DATOS!C653</f>
        <v>0</v>
      </c>
      <c r="D652" s="41">
        <f>REGISTRO_B.DATOS!D653</f>
        <v>0</v>
      </c>
      <c r="E652" s="42">
        <f>REGISTRO_B.DATOS!E653</f>
        <v>0</v>
      </c>
      <c r="F652" s="41">
        <f>REGISTRO_B.DATOS!F653</f>
        <v>0</v>
      </c>
      <c r="G652" s="41">
        <f>REGISTRO_B.DATOS!G653</f>
        <v>0</v>
      </c>
      <c r="H652" s="41">
        <f>REGISTRO_B.DATOS!H653</f>
        <v>0</v>
      </c>
      <c r="I652" s="41">
        <f>REGISTRO_B.DATOS!I653</f>
        <v>0</v>
      </c>
      <c r="J652" s="41">
        <f>REGISTRO_B.DATOS!J653</f>
        <v>0</v>
      </c>
      <c r="K652" s="43">
        <f>REGISTRO_B.DATOS!K653</f>
        <v>0</v>
      </c>
    </row>
    <row r="653" spans="1:11" x14ac:dyDescent="0.25">
      <c r="A653" s="40">
        <f>REGISTRO_B.DATOS!A654</f>
        <v>0</v>
      </c>
      <c r="B653" s="41">
        <f>REGISTRO_B.DATOS!B654</f>
        <v>0</v>
      </c>
      <c r="C653" s="41">
        <f>REGISTRO_B.DATOS!C654</f>
        <v>0</v>
      </c>
      <c r="D653" s="41">
        <f>REGISTRO_B.DATOS!D654</f>
        <v>0</v>
      </c>
      <c r="E653" s="42">
        <f>REGISTRO_B.DATOS!E654</f>
        <v>0</v>
      </c>
      <c r="F653" s="41">
        <f>REGISTRO_B.DATOS!F654</f>
        <v>0</v>
      </c>
      <c r="G653" s="41">
        <f>REGISTRO_B.DATOS!G654</f>
        <v>0</v>
      </c>
      <c r="H653" s="41">
        <f>REGISTRO_B.DATOS!H654</f>
        <v>0</v>
      </c>
      <c r="I653" s="41">
        <f>REGISTRO_B.DATOS!I654</f>
        <v>0</v>
      </c>
      <c r="J653" s="41">
        <f>REGISTRO_B.DATOS!J654</f>
        <v>0</v>
      </c>
      <c r="K653" s="43">
        <f>REGISTRO_B.DATOS!K654</f>
        <v>0</v>
      </c>
    </row>
    <row r="654" spans="1:11" x14ac:dyDescent="0.25">
      <c r="A654" s="40">
        <f>REGISTRO_B.DATOS!A655</f>
        <v>0</v>
      </c>
      <c r="B654" s="41">
        <f>REGISTRO_B.DATOS!B655</f>
        <v>0</v>
      </c>
      <c r="C654" s="41">
        <f>REGISTRO_B.DATOS!C655</f>
        <v>0</v>
      </c>
      <c r="D654" s="41">
        <f>REGISTRO_B.DATOS!D655</f>
        <v>0</v>
      </c>
      <c r="E654" s="42">
        <f>REGISTRO_B.DATOS!E655</f>
        <v>0</v>
      </c>
      <c r="F654" s="41">
        <f>REGISTRO_B.DATOS!F655</f>
        <v>0</v>
      </c>
      <c r="G654" s="41">
        <f>REGISTRO_B.DATOS!G655</f>
        <v>0</v>
      </c>
      <c r="H654" s="41">
        <f>REGISTRO_B.DATOS!H655</f>
        <v>0</v>
      </c>
      <c r="I654" s="41">
        <f>REGISTRO_B.DATOS!I655</f>
        <v>0</v>
      </c>
      <c r="J654" s="41">
        <f>REGISTRO_B.DATOS!J655</f>
        <v>0</v>
      </c>
      <c r="K654" s="43">
        <f>REGISTRO_B.DATOS!K655</f>
        <v>0</v>
      </c>
    </row>
    <row r="655" spans="1:11" x14ac:dyDescent="0.25">
      <c r="A655" s="40">
        <f>REGISTRO_B.DATOS!A656</f>
        <v>0</v>
      </c>
      <c r="B655" s="41">
        <f>REGISTRO_B.DATOS!B656</f>
        <v>0</v>
      </c>
      <c r="C655" s="41">
        <f>REGISTRO_B.DATOS!C656</f>
        <v>0</v>
      </c>
      <c r="D655" s="41">
        <f>REGISTRO_B.DATOS!D656</f>
        <v>0</v>
      </c>
      <c r="E655" s="42">
        <f>REGISTRO_B.DATOS!E656</f>
        <v>0</v>
      </c>
      <c r="F655" s="41">
        <f>REGISTRO_B.DATOS!F656</f>
        <v>0</v>
      </c>
      <c r="G655" s="41">
        <f>REGISTRO_B.DATOS!G656</f>
        <v>0</v>
      </c>
      <c r="H655" s="41">
        <f>REGISTRO_B.DATOS!H656</f>
        <v>0</v>
      </c>
      <c r="I655" s="41">
        <f>REGISTRO_B.DATOS!I656</f>
        <v>0</v>
      </c>
      <c r="J655" s="41">
        <f>REGISTRO_B.DATOS!J656</f>
        <v>0</v>
      </c>
      <c r="K655" s="43">
        <f>REGISTRO_B.DATOS!K656</f>
        <v>0</v>
      </c>
    </row>
    <row r="656" spans="1:11" x14ac:dyDescent="0.25">
      <c r="A656" s="40">
        <f>REGISTRO_B.DATOS!A657</f>
        <v>0</v>
      </c>
      <c r="B656" s="41">
        <f>REGISTRO_B.DATOS!B657</f>
        <v>0</v>
      </c>
      <c r="C656" s="41">
        <f>REGISTRO_B.DATOS!C657</f>
        <v>0</v>
      </c>
      <c r="D656" s="41">
        <f>REGISTRO_B.DATOS!D657</f>
        <v>0</v>
      </c>
      <c r="E656" s="42">
        <f>REGISTRO_B.DATOS!E657</f>
        <v>0</v>
      </c>
      <c r="F656" s="41">
        <f>REGISTRO_B.DATOS!F657</f>
        <v>0</v>
      </c>
      <c r="G656" s="41">
        <f>REGISTRO_B.DATOS!G657</f>
        <v>0</v>
      </c>
      <c r="H656" s="41">
        <f>REGISTRO_B.DATOS!H657</f>
        <v>0</v>
      </c>
      <c r="I656" s="41">
        <f>REGISTRO_B.DATOS!I657</f>
        <v>0</v>
      </c>
      <c r="J656" s="41">
        <f>REGISTRO_B.DATOS!J657</f>
        <v>0</v>
      </c>
      <c r="K656" s="43">
        <f>REGISTRO_B.DATOS!K657</f>
        <v>0</v>
      </c>
    </row>
    <row r="657" spans="1:11" x14ac:dyDescent="0.25">
      <c r="A657" s="40">
        <f>REGISTRO_B.DATOS!A658</f>
        <v>0</v>
      </c>
      <c r="B657" s="41">
        <f>REGISTRO_B.DATOS!B658</f>
        <v>0</v>
      </c>
      <c r="C657" s="41">
        <f>REGISTRO_B.DATOS!C658</f>
        <v>0</v>
      </c>
      <c r="D657" s="41">
        <f>REGISTRO_B.DATOS!D658</f>
        <v>0</v>
      </c>
      <c r="E657" s="42">
        <f>REGISTRO_B.DATOS!E658</f>
        <v>0</v>
      </c>
      <c r="F657" s="41">
        <f>REGISTRO_B.DATOS!F658</f>
        <v>0</v>
      </c>
      <c r="G657" s="41">
        <f>REGISTRO_B.DATOS!G658</f>
        <v>0</v>
      </c>
      <c r="H657" s="41">
        <f>REGISTRO_B.DATOS!H658</f>
        <v>0</v>
      </c>
      <c r="I657" s="41">
        <f>REGISTRO_B.DATOS!I658</f>
        <v>0</v>
      </c>
      <c r="J657" s="41">
        <f>REGISTRO_B.DATOS!J658</f>
        <v>0</v>
      </c>
      <c r="K657" s="43">
        <f>REGISTRO_B.DATOS!K658</f>
        <v>0</v>
      </c>
    </row>
    <row r="658" spans="1:11" x14ac:dyDescent="0.25">
      <c r="A658" s="40">
        <f>REGISTRO_B.DATOS!A659</f>
        <v>0</v>
      </c>
      <c r="B658" s="41">
        <f>REGISTRO_B.DATOS!B659</f>
        <v>0</v>
      </c>
      <c r="C658" s="41">
        <f>REGISTRO_B.DATOS!C659</f>
        <v>0</v>
      </c>
      <c r="D658" s="41">
        <f>REGISTRO_B.DATOS!D659</f>
        <v>0</v>
      </c>
      <c r="E658" s="42">
        <f>REGISTRO_B.DATOS!E659</f>
        <v>0</v>
      </c>
      <c r="F658" s="41">
        <f>REGISTRO_B.DATOS!F659</f>
        <v>0</v>
      </c>
      <c r="G658" s="41">
        <f>REGISTRO_B.DATOS!G659</f>
        <v>0</v>
      </c>
      <c r="H658" s="41">
        <f>REGISTRO_B.DATOS!H659</f>
        <v>0</v>
      </c>
      <c r="I658" s="41">
        <f>REGISTRO_B.DATOS!I659</f>
        <v>0</v>
      </c>
      <c r="J658" s="41">
        <f>REGISTRO_B.DATOS!J659</f>
        <v>0</v>
      </c>
      <c r="K658" s="43">
        <f>REGISTRO_B.DATOS!K659</f>
        <v>0</v>
      </c>
    </row>
    <row r="659" spans="1:11" x14ac:dyDescent="0.25">
      <c r="A659" s="40">
        <f>REGISTRO_B.DATOS!A660</f>
        <v>0</v>
      </c>
      <c r="B659" s="41">
        <f>REGISTRO_B.DATOS!B660</f>
        <v>0</v>
      </c>
      <c r="C659" s="41">
        <f>REGISTRO_B.DATOS!C660</f>
        <v>0</v>
      </c>
      <c r="D659" s="41">
        <f>REGISTRO_B.DATOS!D660</f>
        <v>0</v>
      </c>
      <c r="E659" s="42">
        <f>REGISTRO_B.DATOS!E660</f>
        <v>0</v>
      </c>
      <c r="F659" s="41">
        <f>REGISTRO_B.DATOS!F660</f>
        <v>0</v>
      </c>
      <c r="G659" s="41">
        <f>REGISTRO_B.DATOS!G660</f>
        <v>0</v>
      </c>
      <c r="H659" s="41">
        <f>REGISTRO_B.DATOS!H660</f>
        <v>0</v>
      </c>
      <c r="I659" s="41">
        <f>REGISTRO_B.DATOS!I660</f>
        <v>0</v>
      </c>
      <c r="J659" s="41">
        <f>REGISTRO_B.DATOS!J660</f>
        <v>0</v>
      </c>
      <c r="K659" s="43">
        <f>REGISTRO_B.DATOS!K660</f>
        <v>0</v>
      </c>
    </row>
    <row r="660" spans="1:11" x14ac:dyDescent="0.25">
      <c r="A660" s="40">
        <f>REGISTRO_B.DATOS!A661</f>
        <v>0</v>
      </c>
      <c r="B660" s="41">
        <f>REGISTRO_B.DATOS!B661</f>
        <v>0</v>
      </c>
      <c r="C660" s="41">
        <f>REGISTRO_B.DATOS!C661</f>
        <v>0</v>
      </c>
      <c r="D660" s="41">
        <f>REGISTRO_B.DATOS!D661</f>
        <v>0</v>
      </c>
      <c r="E660" s="42">
        <f>REGISTRO_B.DATOS!E661</f>
        <v>0</v>
      </c>
      <c r="F660" s="41">
        <f>REGISTRO_B.DATOS!F661</f>
        <v>0</v>
      </c>
      <c r="G660" s="41">
        <f>REGISTRO_B.DATOS!G661</f>
        <v>0</v>
      </c>
      <c r="H660" s="41">
        <f>REGISTRO_B.DATOS!H661</f>
        <v>0</v>
      </c>
      <c r="I660" s="41">
        <f>REGISTRO_B.DATOS!I661</f>
        <v>0</v>
      </c>
      <c r="J660" s="41">
        <f>REGISTRO_B.DATOS!J661</f>
        <v>0</v>
      </c>
      <c r="K660" s="43">
        <f>REGISTRO_B.DATOS!K661</f>
        <v>0</v>
      </c>
    </row>
    <row r="661" spans="1:11" x14ac:dyDescent="0.25">
      <c r="A661" s="40">
        <f>REGISTRO_B.DATOS!A662</f>
        <v>0</v>
      </c>
      <c r="B661" s="41">
        <f>REGISTRO_B.DATOS!B662</f>
        <v>0</v>
      </c>
      <c r="C661" s="41">
        <f>REGISTRO_B.DATOS!C662</f>
        <v>0</v>
      </c>
      <c r="D661" s="41">
        <f>REGISTRO_B.DATOS!D662</f>
        <v>0</v>
      </c>
      <c r="E661" s="42">
        <f>REGISTRO_B.DATOS!E662</f>
        <v>0</v>
      </c>
      <c r="F661" s="41">
        <f>REGISTRO_B.DATOS!F662</f>
        <v>0</v>
      </c>
      <c r="G661" s="41">
        <f>REGISTRO_B.DATOS!G662</f>
        <v>0</v>
      </c>
      <c r="H661" s="41">
        <f>REGISTRO_B.DATOS!H662</f>
        <v>0</v>
      </c>
      <c r="I661" s="41">
        <f>REGISTRO_B.DATOS!I662</f>
        <v>0</v>
      </c>
      <c r="J661" s="41">
        <f>REGISTRO_B.DATOS!J662</f>
        <v>0</v>
      </c>
      <c r="K661" s="43">
        <f>REGISTRO_B.DATOS!K662</f>
        <v>0</v>
      </c>
    </row>
    <row r="662" spans="1:11" x14ac:dyDescent="0.25">
      <c r="A662" s="40">
        <f>REGISTRO_B.DATOS!A663</f>
        <v>0</v>
      </c>
      <c r="B662" s="41">
        <f>REGISTRO_B.DATOS!B663</f>
        <v>0</v>
      </c>
      <c r="C662" s="41">
        <f>REGISTRO_B.DATOS!C663</f>
        <v>0</v>
      </c>
      <c r="D662" s="41">
        <f>REGISTRO_B.DATOS!D663</f>
        <v>0</v>
      </c>
      <c r="E662" s="42">
        <f>REGISTRO_B.DATOS!E663</f>
        <v>0</v>
      </c>
      <c r="F662" s="41">
        <f>REGISTRO_B.DATOS!F663</f>
        <v>0</v>
      </c>
      <c r="G662" s="41">
        <f>REGISTRO_B.DATOS!G663</f>
        <v>0</v>
      </c>
      <c r="H662" s="41">
        <f>REGISTRO_B.DATOS!H663</f>
        <v>0</v>
      </c>
      <c r="I662" s="41">
        <f>REGISTRO_B.DATOS!I663</f>
        <v>0</v>
      </c>
      <c r="J662" s="41">
        <f>REGISTRO_B.DATOS!J663</f>
        <v>0</v>
      </c>
      <c r="K662" s="43">
        <f>REGISTRO_B.DATOS!K663</f>
        <v>0</v>
      </c>
    </row>
    <row r="663" spans="1:11" x14ac:dyDescent="0.25">
      <c r="A663" s="40">
        <f>REGISTRO_B.DATOS!A664</f>
        <v>0</v>
      </c>
      <c r="B663" s="41">
        <f>REGISTRO_B.DATOS!B664</f>
        <v>0</v>
      </c>
      <c r="C663" s="41">
        <f>REGISTRO_B.DATOS!C664</f>
        <v>0</v>
      </c>
      <c r="D663" s="41">
        <f>REGISTRO_B.DATOS!D664</f>
        <v>0</v>
      </c>
      <c r="E663" s="42">
        <f>REGISTRO_B.DATOS!E664</f>
        <v>0</v>
      </c>
      <c r="F663" s="41">
        <f>REGISTRO_B.DATOS!F664</f>
        <v>0</v>
      </c>
      <c r="G663" s="41">
        <f>REGISTRO_B.DATOS!G664</f>
        <v>0</v>
      </c>
      <c r="H663" s="41">
        <f>REGISTRO_B.DATOS!H664</f>
        <v>0</v>
      </c>
      <c r="I663" s="41">
        <f>REGISTRO_B.DATOS!I664</f>
        <v>0</v>
      </c>
      <c r="J663" s="41">
        <f>REGISTRO_B.DATOS!J664</f>
        <v>0</v>
      </c>
      <c r="K663" s="43">
        <f>REGISTRO_B.DATOS!K664</f>
        <v>0</v>
      </c>
    </row>
    <row r="664" spans="1:11" x14ac:dyDescent="0.25">
      <c r="A664" s="40">
        <f>REGISTRO_B.DATOS!A665</f>
        <v>0</v>
      </c>
      <c r="B664" s="41">
        <f>REGISTRO_B.DATOS!B665</f>
        <v>0</v>
      </c>
      <c r="C664" s="41">
        <f>REGISTRO_B.DATOS!C665</f>
        <v>0</v>
      </c>
      <c r="D664" s="41">
        <f>REGISTRO_B.DATOS!D665</f>
        <v>0</v>
      </c>
      <c r="E664" s="42">
        <f>REGISTRO_B.DATOS!E665</f>
        <v>0</v>
      </c>
      <c r="F664" s="41">
        <f>REGISTRO_B.DATOS!F665</f>
        <v>0</v>
      </c>
      <c r="G664" s="41">
        <f>REGISTRO_B.DATOS!G665</f>
        <v>0</v>
      </c>
      <c r="H664" s="41">
        <f>REGISTRO_B.DATOS!H665</f>
        <v>0</v>
      </c>
      <c r="I664" s="41">
        <f>REGISTRO_B.DATOS!I665</f>
        <v>0</v>
      </c>
      <c r="J664" s="41">
        <f>REGISTRO_B.DATOS!J665</f>
        <v>0</v>
      </c>
      <c r="K664" s="43">
        <f>REGISTRO_B.DATOS!K665</f>
        <v>0</v>
      </c>
    </row>
    <row r="665" spans="1:11" x14ac:dyDescent="0.25">
      <c r="A665" s="40">
        <f>REGISTRO_B.DATOS!A666</f>
        <v>0</v>
      </c>
      <c r="B665" s="41">
        <f>REGISTRO_B.DATOS!B666</f>
        <v>0</v>
      </c>
      <c r="C665" s="41">
        <f>REGISTRO_B.DATOS!C666</f>
        <v>0</v>
      </c>
      <c r="D665" s="41">
        <f>REGISTRO_B.DATOS!D666</f>
        <v>0</v>
      </c>
      <c r="E665" s="42">
        <f>REGISTRO_B.DATOS!E666</f>
        <v>0</v>
      </c>
      <c r="F665" s="41">
        <f>REGISTRO_B.DATOS!F666</f>
        <v>0</v>
      </c>
      <c r="G665" s="41">
        <f>REGISTRO_B.DATOS!G666</f>
        <v>0</v>
      </c>
      <c r="H665" s="41">
        <f>REGISTRO_B.DATOS!H666</f>
        <v>0</v>
      </c>
      <c r="I665" s="41">
        <f>REGISTRO_B.DATOS!I666</f>
        <v>0</v>
      </c>
      <c r="J665" s="41">
        <f>REGISTRO_B.DATOS!J666</f>
        <v>0</v>
      </c>
      <c r="K665" s="43">
        <f>REGISTRO_B.DATOS!K666</f>
        <v>0</v>
      </c>
    </row>
    <row r="666" spans="1:11" x14ac:dyDescent="0.25">
      <c r="A666" s="40">
        <f>REGISTRO_B.DATOS!A667</f>
        <v>0</v>
      </c>
      <c r="B666" s="41">
        <f>REGISTRO_B.DATOS!B667</f>
        <v>0</v>
      </c>
      <c r="C666" s="41">
        <f>REGISTRO_B.DATOS!C667</f>
        <v>0</v>
      </c>
      <c r="D666" s="41">
        <f>REGISTRO_B.DATOS!D667</f>
        <v>0</v>
      </c>
      <c r="E666" s="42">
        <f>REGISTRO_B.DATOS!E667</f>
        <v>0</v>
      </c>
      <c r="F666" s="41">
        <f>REGISTRO_B.DATOS!F667</f>
        <v>0</v>
      </c>
      <c r="G666" s="41">
        <f>REGISTRO_B.DATOS!G667</f>
        <v>0</v>
      </c>
      <c r="H666" s="41">
        <f>REGISTRO_B.DATOS!H667</f>
        <v>0</v>
      </c>
      <c r="I666" s="41">
        <f>REGISTRO_B.DATOS!I667</f>
        <v>0</v>
      </c>
      <c r="J666" s="41">
        <f>REGISTRO_B.DATOS!J667</f>
        <v>0</v>
      </c>
      <c r="K666" s="43">
        <f>REGISTRO_B.DATOS!K667</f>
        <v>0</v>
      </c>
    </row>
    <row r="667" spans="1:11" x14ac:dyDescent="0.25">
      <c r="A667" s="40">
        <f>REGISTRO_B.DATOS!A668</f>
        <v>0</v>
      </c>
      <c r="B667" s="41">
        <f>REGISTRO_B.DATOS!B668</f>
        <v>0</v>
      </c>
      <c r="C667" s="41">
        <f>REGISTRO_B.DATOS!C668</f>
        <v>0</v>
      </c>
      <c r="D667" s="41">
        <f>REGISTRO_B.DATOS!D668</f>
        <v>0</v>
      </c>
      <c r="E667" s="42">
        <f>REGISTRO_B.DATOS!E668</f>
        <v>0</v>
      </c>
      <c r="F667" s="41">
        <f>REGISTRO_B.DATOS!F668</f>
        <v>0</v>
      </c>
      <c r="G667" s="41">
        <f>REGISTRO_B.DATOS!G668</f>
        <v>0</v>
      </c>
      <c r="H667" s="41">
        <f>REGISTRO_B.DATOS!H668</f>
        <v>0</v>
      </c>
      <c r="I667" s="41">
        <f>REGISTRO_B.DATOS!I668</f>
        <v>0</v>
      </c>
      <c r="J667" s="41">
        <f>REGISTRO_B.DATOS!J668</f>
        <v>0</v>
      </c>
      <c r="K667" s="43">
        <f>REGISTRO_B.DATOS!K668</f>
        <v>0</v>
      </c>
    </row>
    <row r="668" spans="1:11" x14ac:dyDescent="0.25">
      <c r="A668" s="40">
        <f>REGISTRO_B.DATOS!A669</f>
        <v>0</v>
      </c>
      <c r="B668" s="41">
        <f>REGISTRO_B.DATOS!B669</f>
        <v>0</v>
      </c>
      <c r="C668" s="41">
        <f>REGISTRO_B.DATOS!C669</f>
        <v>0</v>
      </c>
      <c r="D668" s="41">
        <f>REGISTRO_B.DATOS!D669</f>
        <v>0</v>
      </c>
      <c r="E668" s="42">
        <f>REGISTRO_B.DATOS!E669</f>
        <v>0</v>
      </c>
      <c r="F668" s="41">
        <f>REGISTRO_B.DATOS!F669</f>
        <v>0</v>
      </c>
      <c r="G668" s="41">
        <f>REGISTRO_B.DATOS!G669</f>
        <v>0</v>
      </c>
      <c r="H668" s="41">
        <f>REGISTRO_B.DATOS!H669</f>
        <v>0</v>
      </c>
      <c r="I668" s="41">
        <f>REGISTRO_B.DATOS!I669</f>
        <v>0</v>
      </c>
      <c r="J668" s="41">
        <f>REGISTRO_B.DATOS!J669</f>
        <v>0</v>
      </c>
      <c r="K668" s="43">
        <f>REGISTRO_B.DATOS!K669</f>
        <v>0</v>
      </c>
    </row>
    <row r="669" spans="1:11" x14ac:dyDescent="0.25">
      <c r="A669" s="40">
        <f>REGISTRO_B.DATOS!A670</f>
        <v>0</v>
      </c>
      <c r="B669" s="41">
        <f>REGISTRO_B.DATOS!B670</f>
        <v>0</v>
      </c>
      <c r="C669" s="41">
        <f>REGISTRO_B.DATOS!C670</f>
        <v>0</v>
      </c>
      <c r="D669" s="41">
        <f>REGISTRO_B.DATOS!D670</f>
        <v>0</v>
      </c>
      <c r="E669" s="42">
        <f>REGISTRO_B.DATOS!E670</f>
        <v>0</v>
      </c>
      <c r="F669" s="41">
        <f>REGISTRO_B.DATOS!F670</f>
        <v>0</v>
      </c>
      <c r="G669" s="41">
        <f>REGISTRO_B.DATOS!G670</f>
        <v>0</v>
      </c>
      <c r="H669" s="41">
        <f>REGISTRO_B.DATOS!H670</f>
        <v>0</v>
      </c>
      <c r="I669" s="41">
        <f>REGISTRO_B.DATOS!I670</f>
        <v>0</v>
      </c>
      <c r="J669" s="41">
        <f>REGISTRO_B.DATOS!J670</f>
        <v>0</v>
      </c>
      <c r="K669" s="43">
        <f>REGISTRO_B.DATOS!K670</f>
        <v>0</v>
      </c>
    </row>
    <row r="670" spans="1:11" x14ac:dyDescent="0.25">
      <c r="A670" s="40">
        <f>REGISTRO_B.DATOS!A671</f>
        <v>0</v>
      </c>
      <c r="B670" s="41">
        <f>REGISTRO_B.DATOS!B671</f>
        <v>0</v>
      </c>
      <c r="C670" s="41">
        <f>REGISTRO_B.DATOS!C671</f>
        <v>0</v>
      </c>
      <c r="D670" s="41">
        <f>REGISTRO_B.DATOS!D671</f>
        <v>0</v>
      </c>
      <c r="E670" s="42">
        <f>REGISTRO_B.DATOS!E671</f>
        <v>0</v>
      </c>
      <c r="F670" s="41">
        <f>REGISTRO_B.DATOS!F671</f>
        <v>0</v>
      </c>
      <c r="G670" s="41">
        <f>REGISTRO_B.DATOS!G671</f>
        <v>0</v>
      </c>
      <c r="H670" s="41">
        <f>REGISTRO_B.DATOS!H671</f>
        <v>0</v>
      </c>
      <c r="I670" s="41">
        <f>REGISTRO_B.DATOS!I671</f>
        <v>0</v>
      </c>
      <c r="J670" s="41">
        <f>REGISTRO_B.DATOS!J671</f>
        <v>0</v>
      </c>
      <c r="K670" s="43">
        <f>REGISTRO_B.DATOS!K671</f>
        <v>0</v>
      </c>
    </row>
    <row r="671" spans="1:11" x14ac:dyDescent="0.25">
      <c r="A671" s="40">
        <f>REGISTRO_B.DATOS!A672</f>
        <v>0</v>
      </c>
      <c r="B671" s="41">
        <f>REGISTRO_B.DATOS!B672</f>
        <v>0</v>
      </c>
      <c r="C671" s="41">
        <f>REGISTRO_B.DATOS!C672</f>
        <v>0</v>
      </c>
      <c r="D671" s="41">
        <f>REGISTRO_B.DATOS!D672</f>
        <v>0</v>
      </c>
      <c r="E671" s="42">
        <f>REGISTRO_B.DATOS!E672</f>
        <v>0</v>
      </c>
      <c r="F671" s="41">
        <f>REGISTRO_B.DATOS!F672</f>
        <v>0</v>
      </c>
      <c r="G671" s="41">
        <f>REGISTRO_B.DATOS!G672</f>
        <v>0</v>
      </c>
      <c r="H671" s="41">
        <f>REGISTRO_B.DATOS!H672</f>
        <v>0</v>
      </c>
      <c r="I671" s="41">
        <f>REGISTRO_B.DATOS!I672</f>
        <v>0</v>
      </c>
      <c r="J671" s="41">
        <f>REGISTRO_B.DATOS!J672</f>
        <v>0</v>
      </c>
      <c r="K671" s="43">
        <f>REGISTRO_B.DATOS!K672</f>
        <v>0</v>
      </c>
    </row>
    <row r="672" spans="1:11" x14ac:dyDescent="0.25">
      <c r="A672" s="40">
        <f>REGISTRO_B.DATOS!A673</f>
        <v>0</v>
      </c>
      <c r="B672" s="41">
        <f>REGISTRO_B.DATOS!B673</f>
        <v>0</v>
      </c>
      <c r="C672" s="41">
        <f>REGISTRO_B.DATOS!C673</f>
        <v>0</v>
      </c>
      <c r="D672" s="41">
        <f>REGISTRO_B.DATOS!D673</f>
        <v>0</v>
      </c>
      <c r="E672" s="42">
        <f>REGISTRO_B.DATOS!E673</f>
        <v>0</v>
      </c>
      <c r="F672" s="41">
        <f>REGISTRO_B.DATOS!F673</f>
        <v>0</v>
      </c>
      <c r="G672" s="41">
        <f>REGISTRO_B.DATOS!G673</f>
        <v>0</v>
      </c>
      <c r="H672" s="41">
        <f>REGISTRO_B.DATOS!H673</f>
        <v>0</v>
      </c>
      <c r="I672" s="41">
        <f>REGISTRO_B.DATOS!I673</f>
        <v>0</v>
      </c>
      <c r="J672" s="41">
        <f>REGISTRO_B.DATOS!J673</f>
        <v>0</v>
      </c>
      <c r="K672" s="43">
        <f>REGISTRO_B.DATOS!K673</f>
        <v>0</v>
      </c>
    </row>
    <row r="673" spans="1:11" x14ac:dyDescent="0.25">
      <c r="A673" s="40">
        <f>REGISTRO_B.DATOS!A674</f>
        <v>0</v>
      </c>
      <c r="B673" s="41">
        <f>REGISTRO_B.DATOS!B674</f>
        <v>0</v>
      </c>
      <c r="C673" s="41">
        <f>REGISTRO_B.DATOS!C674</f>
        <v>0</v>
      </c>
      <c r="D673" s="41">
        <f>REGISTRO_B.DATOS!D674</f>
        <v>0</v>
      </c>
      <c r="E673" s="42">
        <f>REGISTRO_B.DATOS!E674</f>
        <v>0</v>
      </c>
      <c r="F673" s="41">
        <f>REGISTRO_B.DATOS!F674</f>
        <v>0</v>
      </c>
      <c r="G673" s="41">
        <f>REGISTRO_B.DATOS!G674</f>
        <v>0</v>
      </c>
      <c r="H673" s="41">
        <f>REGISTRO_B.DATOS!H674</f>
        <v>0</v>
      </c>
      <c r="I673" s="41">
        <f>REGISTRO_B.DATOS!I674</f>
        <v>0</v>
      </c>
      <c r="J673" s="41">
        <f>REGISTRO_B.DATOS!J674</f>
        <v>0</v>
      </c>
      <c r="K673" s="43">
        <f>REGISTRO_B.DATOS!K674</f>
        <v>0</v>
      </c>
    </row>
    <row r="674" spans="1:11" x14ac:dyDescent="0.25">
      <c r="A674" s="40">
        <f>REGISTRO_B.DATOS!A675</f>
        <v>0</v>
      </c>
      <c r="B674" s="41">
        <f>REGISTRO_B.DATOS!B675</f>
        <v>0</v>
      </c>
      <c r="C674" s="41">
        <f>REGISTRO_B.DATOS!C675</f>
        <v>0</v>
      </c>
      <c r="D674" s="41">
        <f>REGISTRO_B.DATOS!D675</f>
        <v>0</v>
      </c>
      <c r="E674" s="42">
        <f>REGISTRO_B.DATOS!E675</f>
        <v>0</v>
      </c>
      <c r="F674" s="41">
        <f>REGISTRO_B.DATOS!F675</f>
        <v>0</v>
      </c>
      <c r="G674" s="41">
        <f>REGISTRO_B.DATOS!G675</f>
        <v>0</v>
      </c>
      <c r="H674" s="41">
        <f>REGISTRO_B.DATOS!H675</f>
        <v>0</v>
      </c>
      <c r="I674" s="41">
        <f>REGISTRO_B.DATOS!I675</f>
        <v>0</v>
      </c>
      <c r="J674" s="41">
        <f>REGISTRO_B.DATOS!J675</f>
        <v>0</v>
      </c>
      <c r="K674" s="43">
        <f>REGISTRO_B.DATOS!K675</f>
        <v>0</v>
      </c>
    </row>
    <row r="675" spans="1:11" x14ac:dyDescent="0.25">
      <c r="A675" s="40">
        <f>REGISTRO_B.DATOS!A676</f>
        <v>0</v>
      </c>
      <c r="B675" s="41">
        <f>REGISTRO_B.DATOS!B676</f>
        <v>0</v>
      </c>
      <c r="C675" s="41">
        <f>REGISTRO_B.DATOS!C676</f>
        <v>0</v>
      </c>
      <c r="D675" s="41">
        <f>REGISTRO_B.DATOS!D676</f>
        <v>0</v>
      </c>
      <c r="E675" s="42">
        <f>REGISTRO_B.DATOS!E676</f>
        <v>0</v>
      </c>
      <c r="F675" s="41">
        <f>REGISTRO_B.DATOS!F676</f>
        <v>0</v>
      </c>
      <c r="G675" s="41">
        <f>REGISTRO_B.DATOS!G676</f>
        <v>0</v>
      </c>
      <c r="H675" s="41">
        <f>REGISTRO_B.DATOS!H676</f>
        <v>0</v>
      </c>
      <c r="I675" s="41">
        <f>REGISTRO_B.DATOS!I676</f>
        <v>0</v>
      </c>
      <c r="J675" s="41">
        <f>REGISTRO_B.DATOS!J676</f>
        <v>0</v>
      </c>
      <c r="K675" s="43">
        <f>REGISTRO_B.DATOS!K676</f>
        <v>0</v>
      </c>
    </row>
    <row r="676" spans="1:11" x14ac:dyDescent="0.25">
      <c r="A676" s="40">
        <f>REGISTRO_B.DATOS!A677</f>
        <v>0</v>
      </c>
      <c r="B676" s="41">
        <f>REGISTRO_B.DATOS!B677</f>
        <v>0</v>
      </c>
      <c r="C676" s="41">
        <f>REGISTRO_B.DATOS!C677</f>
        <v>0</v>
      </c>
      <c r="D676" s="41">
        <f>REGISTRO_B.DATOS!D677</f>
        <v>0</v>
      </c>
      <c r="E676" s="42">
        <f>REGISTRO_B.DATOS!E677</f>
        <v>0</v>
      </c>
      <c r="F676" s="41">
        <f>REGISTRO_B.DATOS!F677</f>
        <v>0</v>
      </c>
      <c r="G676" s="41">
        <f>REGISTRO_B.DATOS!G677</f>
        <v>0</v>
      </c>
      <c r="H676" s="41">
        <f>REGISTRO_B.DATOS!H677</f>
        <v>0</v>
      </c>
      <c r="I676" s="41">
        <f>REGISTRO_B.DATOS!I677</f>
        <v>0</v>
      </c>
      <c r="J676" s="41">
        <f>REGISTRO_B.DATOS!J677</f>
        <v>0</v>
      </c>
      <c r="K676" s="43">
        <f>REGISTRO_B.DATOS!K677</f>
        <v>0</v>
      </c>
    </row>
    <row r="677" spans="1:11" x14ac:dyDescent="0.25">
      <c r="A677" s="40">
        <f>REGISTRO_B.DATOS!A678</f>
        <v>0</v>
      </c>
      <c r="B677" s="41">
        <f>REGISTRO_B.DATOS!B678</f>
        <v>0</v>
      </c>
      <c r="C677" s="41">
        <f>REGISTRO_B.DATOS!C678</f>
        <v>0</v>
      </c>
      <c r="D677" s="41">
        <f>REGISTRO_B.DATOS!D678</f>
        <v>0</v>
      </c>
      <c r="E677" s="42">
        <f>REGISTRO_B.DATOS!E678</f>
        <v>0</v>
      </c>
      <c r="F677" s="41">
        <f>REGISTRO_B.DATOS!F678</f>
        <v>0</v>
      </c>
      <c r="G677" s="41">
        <f>REGISTRO_B.DATOS!G678</f>
        <v>0</v>
      </c>
      <c r="H677" s="41">
        <f>REGISTRO_B.DATOS!H678</f>
        <v>0</v>
      </c>
      <c r="I677" s="41">
        <f>REGISTRO_B.DATOS!I678</f>
        <v>0</v>
      </c>
      <c r="J677" s="41">
        <f>REGISTRO_B.DATOS!J678</f>
        <v>0</v>
      </c>
      <c r="K677" s="43">
        <f>REGISTRO_B.DATOS!K678</f>
        <v>0</v>
      </c>
    </row>
    <row r="678" spans="1:11" x14ac:dyDescent="0.25">
      <c r="A678" s="40">
        <f>REGISTRO_B.DATOS!A679</f>
        <v>0</v>
      </c>
      <c r="B678" s="41">
        <f>REGISTRO_B.DATOS!B679</f>
        <v>0</v>
      </c>
      <c r="C678" s="41">
        <f>REGISTRO_B.DATOS!C679</f>
        <v>0</v>
      </c>
      <c r="D678" s="41">
        <f>REGISTRO_B.DATOS!D679</f>
        <v>0</v>
      </c>
      <c r="E678" s="42">
        <f>REGISTRO_B.DATOS!E679</f>
        <v>0</v>
      </c>
      <c r="F678" s="41">
        <f>REGISTRO_B.DATOS!F679</f>
        <v>0</v>
      </c>
      <c r="G678" s="41">
        <f>REGISTRO_B.DATOS!G679</f>
        <v>0</v>
      </c>
      <c r="H678" s="41">
        <f>REGISTRO_B.DATOS!H679</f>
        <v>0</v>
      </c>
      <c r="I678" s="41">
        <f>REGISTRO_B.DATOS!I679</f>
        <v>0</v>
      </c>
      <c r="J678" s="41">
        <f>REGISTRO_B.DATOS!J679</f>
        <v>0</v>
      </c>
      <c r="K678" s="43">
        <f>REGISTRO_B.DATOS!K679</f>
        <v>0</v>
      </c>
    </row>
    <row r="679" spans="1:11" x14ac:dyDescent="0.25">
      <c r="A679" s="40">
        <f>REGISTRO_B.DATOS!A680</f>
        <v>0</v>
      </c>
      <c r="B679" s="41">
        <f>REGISTRO_B.DATOS!B680</f>
        <v>0</v>
      </c>
      <c r="C679" s="41">
        <f>REGISTRO_B.DATOS!C680</f>
        <v>0</v>
      </c>
      <c r="D679" s="41">
        <f>REGISTRO_B.DATOS!D680</f>
        <v>0</v>
      </c>
      <c r="E679" s="42">
        <f>REGISTRO_B.DATOS!E680</f>
        <v>0</v>
      </c>
      <c r="F679" s="41">
        <f>REGISTRO_B.DATOS!F680</f>
        <v>0</v>
      </c>
      <c r="G679" s="41">
        <f>REGISTRO_B.DATOS!G680</f>
        <v>0</v>
      </c>
      <c r="H679" s="41">
        <f>REGISTRO_B.DATOS!H680</f>
        <v>0</v>
      </c>
      <c r="I679" s="41">
        <f>REGISTRO_B.DATOS!I680</f>
        <v>0</v>
      </c>
      <c r="J679" s="41">
        <f>REGISTRO_B.DATOS!J680</f>
        <v>0</v>
      </c>
      <c r="K679" s="43">
        <f>REGISTRO_B.DATOS!K680</f>
        <v>0</v>
      </c>
    </row>
    <row r="680" spans="1:11" x14ac:dyDescent="0.25">
      <c r="A680" s="40">
        <f>REGISTRO_B.DATOS!A681</f>
        <v>0</v>
      </c>
      <c r="B680" s="41">
        <f>REGISTRO_B.DATOS!B681</f>
        <v>0</v>
      </c>
      <c r="C680" s="41">
        <f>REGISTRO_B.DATOS!C681</f>
        <v>0</v>
      </c>
      <c r="D680" s="41">
        <f>REGISTRO_B.DATOS!D681</f>
        <v>0</v>
      </c>
      <c r="E680" s="42">
        <f>REGISTRO_B.DATOS!E681</f>
        <v>0</v>
      </c>
      <c r="F680" s="41">
        <f>REGISTRO_B.DATOS!F681</f>
        <v>0</v>
      </c>
      <c r="G680" s="41">
        <f>REGISTRO_B.DATOS!G681</f>
        <v>0</v>
      </c>
      <c r="H680" s="41">
        <f>REGISTRO_B.DATOS!H681</f>
        <v>0</v>
      </c>
      <c r="I680" s="41">
        <f>REGISTRO_B.DATOS!I681</f>
        <v>0</v>
      </c>
      <c r="J680" s="41">
        <f>REGISTRO_B.DATOS!J681</f>
        <v>0</v>
      </c>
      <c r="K680" s="43">
        <f>REGISTRO_B.DATOS!K681</f>
        <v>0</v>
      </c>
    </row>
    <row r="681" spans="1:11" x14ac:dyDescent="0.25">
      <c r="A681" s="40">
        <f>REGISTRO_B.DATOS!A682</f>
        <v>0</v>
      </c>
      <c r="B681" s="41">
        <f>REGISTRO_B.DATOS!B682</f>
        <v>0</v>
      </c>
      <c r="C681" s="41">
        <f>REGISTRO_B.DATOS!C682</f>
        <v>0</v>
      </c>
      <c r="D681" s="41">
        <f>REGISTRO_B.DATOS!D682</f>
        <v>0</v>
      </c>
      <c r="E681" s="42">
        <f>REGISTRO_B.DATOS!E682</f>
        <v>0</v>
      </c>
      <c r="F681" s="41">
        <f>REGISTRO_B.DATOS!F682</f>
        <v>0</v>
      </c>
      <c r="G681" s="41">
        <f>REGISTRO_B.DATOS!G682</f>
        <v>0</v>
      </c>
      <c r="H681" s="41">
        <f>REGISTRO_B.DATOS!H682</f>
        <v>0</v>
      </c>
      <c r="I681" s="41">
        <f>REGISTRO_B.DATOS!I682</f>
        <v>0</v>
      </c>
      <c r="J681" s="41">
        <f>REGISTRO_B.DATOS!J682</f>
        <v>0</v>
      </c>
      <c r="K681" s="43">
        <f>REGISTRO_B.DATOS!K682</f>
        <v>0</v>
      </c>
    </row>
    <row r="682" spans="1:11" x14ac:dyDescent="0.25">
      <c r="A682" s="40">
        <f>REGISTRO_B.DATOS!A683</f>
        <v>0</v>
      </c>
      <c r="B682" s="41">
        <f>REGISTRO_B.DATOS!B683</f>
        <v>0</v>
      </c>
      <c r="C682" s="41">
        <f>REGISTRO_B.DATOS!C683</f>
        <v>0</v>
      </c>
      <c r="D682" s="41">
        <f>REGISTRO_B.DATOS!D683</f>
        <v>0</v>
      </c>
      <c r="E682" s="42">
        <f>REGISTRO_B.DATOS!E683</f>
        <v>0</v>
      </c>
      <c r="F682" s="41">
        <f>REGISTRO_B.DATOS!F683</f>
        <v>0</v>
      </c>
      <c r="G682" s="41">
        <f>REGISTRO_B.DATOS!G683</f>
        <v>0</v>
      </c>
      <c r="H682" s="41">
        <f>REGISTRO_B.DATOS!H683</f>
        <v>0</v>
      </c>
      <c r="I682" s="41">
        <f>REGISTRO_B.DATOS!I683</f>
        <v>0</v>
      </c>
      <c r="J682" s="41">
        <f>REGISTRO_B.DATOS!J683</f>
        <v>0</v>
      </c>
      <c r="K682" s="43">
        <f>REGISTRO_B.DATOS!K683</f>
        <v>0</v>
      </c>
    </row>
    <row r="683" spans="1:11" x14ac:dyDescent="0.25">
      <c r="A683" s="40">
        <f>REGISTRO_B.DATOS!A684</f>
        <v>0</v>
      </c>
      <c r="B683" s="41">
        <f>REGISTRO_B.DATOS!B684</f>
        <v>0</v>
      </c>
      <c r="C683" s="41">
        <f>REGISTRO_B.DATOS!C684</f>
        <v>0</v>
      </c>
      <c r="D683" s="41">
        <f>REGISTRO_B.DATOS!D684</f>
        <v>0</v>
      </c>
      <c r="E683" s="42">
        <f>REGISTRO_B.DATOS!E684</f>
        <v>0</v>
      </c>
      <c r="F683" s="41">
        <f>REGISTRO_B.DATOS!F684</f>
        <v>0</v>
      </c>
      <c r="G683" s="41">
        <f>REGISTRO_B.DATOS!G684</f>
        <v>0</v>
      </c>
      <c r="H683" s="41">
        <f>REGISTRO_B.DATOS!H684</f>
        <v>0</v>
      </c>
      <c r="I683" s="41">
        <f>REGISTRO_B.DATOS!I684</f>
        <v>0</v>
      </c>
      <c r="J683" s="41">
        <f>REGISTRO_B.DATOS!J684</f>
        <v>0</v>
      </c>
      <c r="K683" s="43">
        <f>REGISTRO_B.DATOS!K684</f>
        <v>0</v>
      </c>
    </row>
    <row r="684" spans="1:11" x14ac:dyDescent="0.25">
      <c r="A684" s="40">
        <f>REGISTRO_B.DATOS!A685</f>
        <v>0</v>
      </c>
      <c r="B684" s="41">
        <f>REGISTRO_B.DATOS!B685</f>
        <v>0</v>
      </c>
      <c r="C684" s="41">
        <f>REGISTRO_B.DATOS!C685</f>
        <v>0</v>
      </c>
      <c r="D684" s="41">
        <f>REGISTRO_B.DATOS!D685</f>
        <v>0</v>
      </c>
      <c r="E684" s="42">
        <f>REGISTRO_B.DATOS!E685</f>
        <v>0</v>
      </c>
      <c r="F684" s="41">
        <f>REGISTRO_B.DATOS!F685</f>
        <v>0</v>
      </c>
      <c r="G684" s="41">
        <f>REGISTRO_B.DATOS!G685</f>
        <v>0</v>
      </c>
      <c r="H684" s="41">
        <f>REGISTRO_B.DATOS!H685</f>
        <v>0</v>
      </c>
      <c r="I684" s="41">
        <f>REGISTRO_B.DATOS!I685</f>
        <v>0</v>
      </c>
      <c r="J684" s="41">
        <f>REGISTRO_B.DATOS!J685</f>
        <v>0</v>
      </c>
      <c r="K684" s="43">
        <f>REGISTRO_B.DATOS!K685</f>
        <v>0</v>
      </c>
    </row>
    <row r="685" spans="1:11" x14ac:dyDescent="0.25">
      <c r="A685" s="40">
        <f>REGISTRO_B.DATOS!A686</f>
        <v>0</v>
      </c>
      <c r="B685" s="41">
        <f>REGISTRO_B.DATOS!B686</f>
        <v>0</v>
      </c>
      <c r="C685" s="41">
        <f>REGISTRO_B.DATOS!C686</f>
        <v>0</v>
      </c>
      <c r="D685" s="41">
        <f>REGISTRO_B.DATOS!D686</f>
        <v>0</v>
      </c>
      <c r="E685" s="42">
        <f>REGISTRO_B.DATOS!E686</f>
        <v>0</v>
      </c>
      <c r="F685" s="41">
        <f>REGISTRO_B.DATOS!F686</f>
        <v>0</v>
      </c>
      <c r="G685" s="41">
        <f>REGISTRO_B.DATOS!G686</f>
        <v>0</v>
      </c>
      <c r="H685" s="41">
        <f>REGISTRO_B.DATOS!H686</f>
        <v>0</v>
      </c>
      <c r="I685" s="41">
        <f>REGISTRO_B.DATOS!I686</f>
        <v>0</v>
      </c>
      <c r="J685" s="41">
        <f>REGISTRO_B.DATOS!J686</f>
        <v>0</v>
      </c>
      <c r="K685" s="43">
        <f>REGISTRO_B.DATOS!K686</f>
        <v>0</v>
      </c>
    </row>
    <row r="686" spans="1:11" x14ac:dyDescent="0.25">
      <c r="A686" s="40">
        <f>REGISTRO_B.DATOS!A687</f>
        <v>0</v>
      </c>
      <c r="B686" s="41">
        <f>REGISTRO_B.DATOS!B687</f>
        <v>0</v>
      </c>
      <c r="C686" s="41">
        <f>REGISTRO_B.DATOS!C687</f>
        <v>0</v>
      </c>
      <c r="D686" s="41">
        <f>REGISTRO_B.DATOS!D687</f>
        <v>0</v>
      </c>
      <c r="E686" s="42">
        <f>REGISTRO_B.DATOS!E687</f>
        <v>0</v>
      </c>
      <c r="F686" s="41">
        <f>REGISTRO_B.DATOS!F687</f>
        <v>0</v>
      </c>
      <c r="G686" s="41">
        <f>REGISTRO_B.DATOS!G687</f>
        <v>0</v>
      </c>
      <c r="H686" s="41">
        <f>REGISTRO_B.DATOS!H687</f>
        <v>0</v>
      </c>
      <c r="I686" s="41">
        <f>REGISTRO_B.DATOS!I687</f>
        <v>0</v>
      </c>
      <c r="J686" s="41">
        <f>REGISTRO_B.DATOS!J687</f>
        <v>0</v>
      </c>
      <c r="K686" s="43">
        <f>REGISTRO_B.DATOS!K687</f>
        <v>0</v>
      </c>
    </row>
    <row r="687" spans="1:11" x14ac:dyDescent="0.25">
      <c r="A687" s="40">
        <f>REGISTRO_B.DATOS!A688</f>
        <v>0</v>
      </c>
      <c r="B687" s="41">
        <f>REGISTRO_B.DATOS!B688</f>
        <v>0</v>
      </c>
      <c r="C687" s="41">
        <f>REGISTRO_B.DATOS!C688</f>
        <v>0</v>
      </c>
      <c r="D687" s="41">
        <f>REGISTRO_B.DATOS!D688</f>
        <v>0</v>
      </c>
      <c r="E687" s="42">
        <f>REGISTRO_B.DATOS!E688</f>
        <v>0</v>
      </c>
      <c r="F687" s="41">
        <f>REGISTRO_B.DATOS!F688</f>
        <v>0</v>
      </c>
      <c r="G687" s="41">
        <f>REGISTRO_B.DATOS!G688</f>
        <v>0</v>
      </c>
      <c r="H687" s="41">
        <f>REGISTRO_B.DATOS!H688</f>
        <v>0</v>
      </c>
      <c r="I687" s="41">
        <f>REGISTRO_B.DATOS!I688</f>
        <v>0</v>
      </c>
      <c r="J687" s="41">
        <f>REGISTRO_B.DATOS!J688</f>
        <v>0</v>
      </c>
      <c r="K687" s="43">
        <f>REGISTRO_B.DATOS!K688</f>
        <v>0</v>
      </c>
    </row>
    <row r="688" spans="1:11" x14ac:dyDescent="0.25">
      <c r="A688" s="40">
        <f>REGISTRO_B.DATOS!A689</f>
        <v>0</v>
      </c>
      <c r="B688" s="41">
        <f>REGISTRO_B.DATOS!B689</f>
        <v>0</v>
      </c>
      <c r="C688" s="41">
        <f>REGISTRO_B.DATOS!C689</f>
        <v>0</v>
      </c>
      <c r="D688" s="41">
        <f>REGISTRO_B.DATOS!D689</f>
        <v>0</v>
      </c>
      <c r="E688" s="42">
        <f>REGISTRO_B.DATOS!E689</f>
        <v>0</v>
      </c>
      <c r="F688" s="41">
        <f>REGISTRO_B.DATOS!F689</f>
        <v>0</v>
      </c>
      <c r="G688" s="41">
        <f>REGISTRO_B.DATOS!G689</f>
        <v>0</v>
      </c>
      <c r="H688" s="41">
        <f>REGISTRO_B.DATOS!H689</f>
        <v>0</v>
      </c>
      <c r="I688" s="41">
        <f>REGISTRO_B.DATOS!I689</f>
        <v>0</v>
      </c>
      <c r="J688" s="41">
        <f>REGISTRO_B.DATOS!J689</f>
        <v>0</v>
      </c>
      <c r="K688" s="43">
        <f>REGISTRO_B.DATOS!K689</f>
        <v>0</v>
      </c>
    </row>
    <row r="689" spans="1:11" x14ac:dyDescent="0.25">
      <c r="A689" s="40">
        <f>REGISTRO_B.DATOS!A690</f>
        <v>0</v>
      </c>
      <c r="B689" s="41">
        <f>REGISTRO_B.DATOS!B690</f>
        <v>0</v>
      </c>
      <c r="C689" s="41">
        <f>REGISTRO_B.DATOS!C690</f>
        <v>0</v>
      </c>
      <c r="D689" s="41">
        <f>REGISTRO_B.DATOS!D690</f>
        <v>0</v>
      </c>
      <c r="E689" s="42">
        <f>REGISTRO_B.DATOS!E690</f>
        <v>0</v>
      </c>
      <c r="F689" s="41">
        <f>REGISTRO_B.DATOS!F690</f>
        <v>0</v>
      </c>
      <c r="G689" s="41">
        <f>REGISTRO_B.DATOS!G690</f>
        <v>0</v>
      </c>
      <c r="H689" s="41">
        <f>REGISTRO_B.DATOS!H690</f>
        <v>0</v>
      </c>
      <c r="I689" s="41">
        <f>REGISTRO_B.DATOS!I690</f>
        <v>0</v>
      </c>
      <c r="J689" s="41">
        <f>REGISTRO_B.DATOS!J690</f>
        <v>0</v>
      </c>
      <c r="K689" s="43">
        <f>REGISTRO_B.DATOS!K690</f>
        <v>0</v>
      </c>
    </row>
    <row r="690" spans="1:11" x14ac:dyDescent="0.25">
      <c r="A690" s="40">
        <f>REGISTRO_B.DATOS!A691</f>
        <v>0</v>
      </c>
      <c r="B690" s="41">
        <f>REGISTRO_B.DATOS!B691</f>
        <v>0</v>
      </c>
      <c r="C690" s="41">
        <f>REGISTRO_B.DATOS!C691</f>
        <v>0</v>
      </c>
      <c r="D690" s="41">
        <f>REGISTRO_B.DATOS!D691</f>
        <v>0</v>
      </c>
      <c r="E690" s="42">
        <f>REGISTRO_B.DATOS!E691</f>
        <v>0</v>
      </c>
      <c r="F690" s="41">
        <f>REGISTRO_B.DATOS!F691</f>
        <v>0</v>
      </c>
      <c r="G690" s="41">
        <f>REGISTRO_B.DATOS!G691</f>
        <v>0</v>
      </c>
      <c r="H690" s="41">
        <f>REGISTRO_B.DATOS!H691</f>
        <v>0</v>
      </c>
      <c r="I690" s="41">
        <f>REGISTRO_B.DATOS!I691</f>
        <v>0</v>
      </c>
      <c r="J690" s="41">
        <f>REGISTRO_B.DATOS!J691</f>
        <v>0</v>
      </c>
      <c r="K690" s="43">
        <f>REGISTRO_B.DATOS!K691</f>
        <v>0</v>
      </c>
    </row>
    <row r="691" spans="1:11" x14ac:dyDescent="0.25">
      <c r="A691" s="40">
        <f>REGISTRO_B.DATOS!A692</f>
        <v>0</v>
      </c>
      <c r="B691" s="41">
        <f>REGISTRO_B.DATOS!B692</f>
        <v>0</v>
      </c>
      <c r="C691" s="41">
        <f>REGISTRO_B.DATOS!C692</f>
        <v>0</v>
      </c>
      <c r="D691" s="41">
        <f>REGISTRO_B.DATOS!D692</f>
        <v>0</v>
      </c>
      <c r="E691" s="42">
        <f>REGISTRO_B.DATOS!E692</f>
        <v>0</v>
      </c>
      <c r="F691" s="41">
        <f>REGISTRO_B.DATOS!F692</f>
        <v>0</v>
      </c>
      <c r="G691" s="41">
        <f>REGISTRO_B.DATOS!G692</f>
        <v>0</v>
      </c>
      <c r="H691" s="41">
        <f>REGISTRO_B.DATOS!H692</f>
        <v>0</v>
      </c>
      <c r="I691" s="41">
        <f>REGISTRO_B.DATOS!I692</f>
        <v>0</v>
      </c>
      <c r="J691" s="41">
        <f>REGISTRO_B.DATOS!J692</f>
        <v>0</v>
      </c>
      <c r="K691" s="43">
        <f>REGISTRO_B.DATOS!K692</f>
        <v>0</v>
      </c>
    </row>
    <row r="692" spans="1:11" x14ac:dyDescent="0.25">
      <c r="A692" s="40">
        <f>REGISTRO_B.DATOS!A693</f>
        <v>0</v>
      </c>
      <c r="B692" s="41">
        <f>REGISTRO_B.DATOS!B693</f>
        <v>0</v>
      </c>
      <c r="C692" s="41">
        <f>REGISTRO_B.DATOS!C693</f>
        <v>0</v>
      </c>
      <c r="D692" s="41">
        <f>REGISTRO_B.DATOS!D693</f>
        <v>0</v>
      </c>
      <c r="E692" s="42">
        <f>REGISTRO_B.DATOS!E693</f>
        <v>0</v>
      </c>
      <c r="F692" s="41">
        <f>REGISTRO_B.DATOS!F693</f>
        <v>0</v>
      </c>
      <c r="G692" s="41">
        <f>REGISTRO_B.DATOS!G693</f>
        <v>0</v>
      </c>
      <c r="H692" s="41">
        <f>REGISTRO_B.DATOS!H693</f>
        <v>0</v>
      </c>
      <c r="I692" s="41">
        <f>REGISTRO_B.DATOS!I693</f>
        <v>0</v>
      </c>
      <c r="J692" s="41">
        <f>REGISTRO_B.DATOS!J693</f>
        <v>0</v>
      </c>
      <c r="K692" s="43">
        <f>REGISTRO_B.DATOS!K693</f>
        <v>0</v>
      </c>
    </row>
    <row r="693" spans="1:11" x14ac:dyDescent="0.25">
      <c r="A693" s="40">
        <f>REGISTRO_B.DATOS!A694</f>
        <v>0</v>
      </c>
      <c r="B693" s="41">
        <f>REGISTRO_B.DATOS!B694</f>
        <v>0</v>
      </c>
      <c r="C693" s="41">
        <f>REGISTRO_B.DATOS!C694</f>
        <v>0</v>
      </c>
      <c r="D693" s="41">
        <f>REGISTRO_B.DATOS!D694</f>
        <v>0</v>
      </c>
      <c r="E693" s="42">
        <f>REGISTRO_B.DATOS!E694</f>
        <v>0</v>
      </c>
      <c r="F693" s="41">
        <f>REGISTRO_B.DATOS!F694</f>
        <v>0</v>
      </c>
      <c r="G693" s="41">
        <f>REGISTRO_B.DATOS!G694</f>
        <v>0</v>
      </c>
      <c r="H693" s="41">
        <f>REGISTRO_B.DATOS!H694</f>
        <v>0</v>
      </c>
      <c r="I693" s="41">
        <f>REGISTRO_B.DATOS!I694</f>
        <v>0</v>
      </c>
      <c r="J693" s="41">
        <f>REGISTRO_B.DATOS!J694</f>
        <v>0</v>
      </c>
      <c r="K693" s="43">
        <f>REGISTRO_B.DATOS!K694</f>
        <v>0</v>
      </c>
    </row>
    <row r="694" spans="1:11" x14ac:dyDescent="0.25">
      <c r="A694" s="40">
        <f>REGISTRO_B.DATOS!A695</f>
        <v>0</v>
      </c>
      <c r="B694" s="41">
        <f>REGISTRO_B.DATOS!B695</f>
        <v>0</v>
      </c>
      <c r="C694" s="41">
        <f>REGISTRO_B.DATOS!C695</f>
        <v>0</v>
      </c>
      <c r="D694" s="41">
        <f>REGISTRO_B.DATOS!D695</f>
        <v>0</v>
      </c>
      <c r="E694" s="42">
        <f>REGISTRO_B.DATOS!E695</f>
        <v>0</v>
      </c>
      <c r="F694" s="41">
        <f>REGISTRO_B.DATOS!F695</f>
        <v>0</v>
      </c>
      <c r="G694" s="41">
        <f>REGISTRO_B.DATOS!G695</f>
        <v>0</v>
      </c>
      <c r="H694" s="41">
        <f>REGISTRO_B.DATOS!H695</f>
        <v>0</v>
      </c>
      <c r="I694" s="41">
        <f>REGISTRO_B.DATOS!I695</f>
        <v>0</v>
      </c>
      <c r="J694" s="41">
        <f>REGISTRO_B.DATOS!J695</f>
        <v>0</v>
      </c>
      <c r="K694" s="43">
        <f>REGISTRO_B.DATOS!K695</f>
        <v>0</v>
      </c>
    </row>
    <row r="695" spans="1:11" x14ac:dyDescent="0.25">
      <c r="A695" s="40">
        <f>REGISTRO_B.DATOS!A696</f>
        <v>0</v>
      </c>
      <c r="B695" s="41">
        <f>REGISTRO_B.DATOS!B696</f>
        <v>0</v>
      </c>
      <c r="C695" s="41">
        <f>REGISTRO_B.DATOS!C696</f>
        <v>0</v>
      </c>
      <c r="D695" s="41">
        <f>REGISTRO_B.DATOS!D696</f>
        <v>0</v>
      </c>
      <c r="E695" s="42">
        <f>REGISTRO_B.DATOS!E696</f>
        <v>0</v>
      </c>
      <c r="F695" s="41">
        <f>REGISTRO_B.DATOS!F696</f>
        <v>0</v>
      </c>
      <c r="G695" s="41">
        <f>REGISTRO_B.DATOS!G696</f>
        <v>0</v>
      </c>
      <c r="H695" s="41">
        <f>REGISTRO_B.DATOS!H696</f>
        <v>0</v>
      </c>
      <c r="I695" s="41">
        <f>REGISTRO_B.DATOS!I696</f>
        <v>0</v>
      </c>
      <c r="J695" s="41">
        <f>REGISTRO_B.DATOS!J696</f>
        <v>0</v>
      </c>
      <c r="K695" s="43">
        <f>REGISTRO_B.DATOS!K696</f>
        <v>0</v>
      </c>
    </row>
    <row r="696" spans="1:11" x14ac:dyDescent="0.25">
      <c r="A696" s="40">
        <f>REGISTRO_B.DATOS!A697</f>
        <v>0</v>
      </c>
      <c r="B696" s="41">
        <f>REGISTRO_B.DATOS!B697</f>
        <v>0</v>
      </c>
      <c r="C696" s="41">
        <f>REGISTRO_B.DATOS!C697</f>
        <v>0</v>
      </c>
      <c r="D696" s="41">
        <f>REGISTRO_B.DATOS!D697</f>
        <v>0</v>
      </c>
      <c r="E696" s="42">
        <f>REGISTRO_B.DATOS!E697</f>
        <v>0</v>
      </c>
      <c r="F696" s="41">
        <f>REGISTRO_B.DATOS!F697</f>
        <v>0</v>
      </c>
      <c r="G696" s="41">
        <f>REGISTRO_B.DATOS!G697</f>
        <v>0</v>
      </c>
      <c r="H696" s="41">
        <f>REGISTRO_B.DATOS!H697</f>
        <v>0</v>
      </c>
      <c r="I696" s="41">
        <f>REGISTRO_B.DATOS!I697</f>
        <v>0</v>
      </c>
      <c r="J696" s="41">
        <f>REGISTRO_B.DATOS!J697</f>
        <v>0</v>
      </c>
      <c r="K696" s="43">
        <f>REGISTRO_B.DATOS!K697</f>
        <v>0</v>
      </c>
    </row>
    <row r="697" spans="1:11" x14ac:dyDescent="0.25">
      <c r="A697" s="40">
        <f>REGISTRO_B.DATOS!A698</f>
        <v>0</v>
      </c>
      <c r="B697" s="41">
        <f>REGISTRO_B.DATOS!B698</f>
        <v>0</v>
      </c>
      <c r="C697" s="41">
        <f>REGISTRO_B.DATOS!C698</f>
        <v>0</v>
      </c>
      <c r="D697" s="41">
        <f>REGISTRO_B.DATOS!D698</f>
        <v>0</v>
      </c>
      <c r="E697" s="42">
        <f>REGISTRO_B.DATOS!E698</f>
        <v>0</v>
      </c>
      <c r="F697" s="41">
        <f>REGISTRO_B.DATOS!F698</f>
        <v>0</v>
      </c>
      <c r="G697" s="41">
        <f>REGISTRO_B.DATOS!G698</f>
        <v>0</v>
      </c>
      <c r="H697" s="41">
        <f>REGISTRO_B.DATOS!H698</f>
        <v>0</v>
      </c>
      <c r="I697" s="41">
        <f>REGISTRO_B.DATOS!I698</f>
        <v>0</v>
      </c>
      <c r="J697" s="41">
        <f>REGISTRO_B.DATOS!J698</f>
        <v>0</v>
      </c>
      <c r="K697" s="43">
        <f>REGISTRO_B.DATOS!K698</f>
        <v>0</v>
      </c>
    </row>
    <row r="698" spans="1:11" x14ac:dyDescent="0.25">
      <c r="A698" s="40">
        <f>REGISTRO_B.DATOS!A699</f>
        <v>0</v>
      </c>
      <c r="B698" s="41">
        <f>REGISTRO_B.DATOS!B699</f>
        <v>0</v>
      </c>
      <c r="C698" s="41">
        <f>REGISTRO_B.DATOS!C699</f>
        <v>0</v>
      </c>
      <c r="D698" s="41">
        <f>REGISTRO_B.DATOS!D699</f>
        <v>0</v>
      </c>
      <c r="E698" s="42">
        <f>REGISTRO_B.DATOS!E699</f>
        <v>0</v>
      </c>
      <c r="F698" s="41">
        <f>REGISTRO_B.DATOS!F699</f>
        <v>0</v>
      </c>
      <c r="G698" s="41">
        <f>REGISTRO_B.DATOS!G699</f>
        <v>0</v>
      </c>
      <c r="H698" s="41">
        <f>REGISTRO_B.DATOS!H699</f>
        <v>0</v>
      </c>
      <c r="I698" s="41">
        <f>REGISTRO_B.DATOS!I699</f>
        <v>0</v>
      </c>
      <c r="J698" s="41">
        <f>REGISTRO_B.DATOS!J699</f>
        <v>0</v>
      </c>
      <c r="K698" s="43">
        <f>REGISTRO_B.DATOS!K699</f>
        <v>0</v>
      </c>
    </row>
    <row r="699" spans="1:11" x14ac:dyDescent="0.25">
      <c r="A699" s="40">
        <f>REGISTRO_B.DATOS!A700</f>
        <v>0</v>
      </c>
      <c r="B699" s="41">
        <f>REGISTRO_B.DATOS!B700</f>
        <v>0</v>
      </c>
      <c r="C699" s="41">
        <f>REGISTRO_B.DATOS!C700</f>
        <v>0</v>
      </c>
      <c r="D699" s="41">
        <f>REGISTRO_B.DATOS!D700</f>
        <v>0</v>
      </c>
      <c r="E699" s="42">
        <f>REGISTRO_B.DATOS!E700</f>
        <v>0</v>
      </c>
      <c r="F699" s="41">
        <f>REGISTRO_B.DATOS!F700</f>
        <v>0</v>
      </c>
      <c r="G699" s="41">
        <f>REGISTRO_B.DATOS!G700</f>
        <v>0</v>
      </c>
      <c r="H699" s="41">
        <f>REGISTRO_B.DATOS!H700</f>
        <v>0</v>
      </c>
      <c r="I699" s="41">
        <f>REGISTRO_B.DATOS!I700</f>
        <v>0</v>
      </c>
      <c r="J699" s="41">
        <f>REGISTRO_B.DATOS!J700</f>
        <v>0</v>
      </c>
      <c r="K699" s="43">
        <f>REGISTRO_B.DATOS!K700</f>
        <v>0</v>
      </c>
    </row>
    <row r="700" spans="1:11" x14ac:dyDescent="0.25">
      <c r="A700" s="40">
        <f>REGISTRO_B.DATOS!A701</f>
        <v>0</v>
      </c>
      <c r="B700" s="41">
        <f>REGISTRO_B.DATOS!B701</f>
        <v>0</v>
      </c>
      <c r="C700" s="41">
        <f>REGISTRO_B.DATOS!C701</f>
        <v>0</v>
      </c>
      <c r="D700" s="41">
        <f>REGISTRO_B.DATOS!D701</f>
        <v>0</v>
      </c>
      <c r="E700" s="42">
        <f>REGISTRO_B.DATOS!E701</f>
        <v>0</v>
      </c>
      <c r="F700" s="41">
        <f>REGISTRO_B.DATOS!F701</f>
        <v>0</v>
      </c>
      <c r="G700" s="41">
        <f>REGISTRO_B.DATOS!G701</f>
        <v>0</v>
      </c>
      <c r="H700" s="41">
        <f>REGISTRO_B.DATOS!H701</f>
        <v>0</v>
      </c>
      <c r="I700" s="41">
        <f>REGISTRO_B.DATOS!I701</f>
        <v>0</v>
      </c>
      <c r="J700" s="41">
        <f>REGISTRO_B.DATOS!J701</f>
        <v>0</v>
      </c>
      <c r="K700" s="43">
        <f>REGISTRO_B.DATOS!K701</f>
        <v>0</v>
      </c>
    </row>
    <row r="701" spans="1:11" x14ac:dyDescent="0.25">
      <c r="A701" s="40">
        <f>REGISTRO_B.DATOS!A702</f>
        <v>0</v>
      </c>
      <c r="B701" s="41">
        <f>REGISTRO_B.DATOS!B702</f>
        <v>0</v>
      </c>
      <c r="C701" s="41">
        <f>REGISTRO_B.DATOS!C702</f>
        <v>0</v>
      </c>
      <c r="D701" s="41">
        <f>REGISTRO_B.DATOS!D702</f>
        <v>0</v>
      </c>
      <c r="E701" s="42">
        <f>REGISTRO_B.DATOS!E702</f>
        <v>0</v>
      </c>
      <c r="F701" s="41">
        <f>REGISTRO_B.DATOS!F702</f>
        <v>0</v>
      </c>
      <c r="G701" s="41">
        <f>REGISTRO_B.DATOS!G702</f>
        <v>0</v>
      </c>
      <c r="H701" s="41">
        <f>REGISTRO_B.DATOS!H702</f>
        <v>0</v>
      </c>
      <c r="I701" s="41">
        <f>REGISTRO_B.DATOS!I702</f>
        <v>0</v>
      </c>
      <c r="J701" s="41">
        <f>REGISTRO_B.DATOS!J702</f>
        <v>0</v>
      </c>
      <c r="K701" s="43">
        <f>REGISTRO_B.DATOS!K702</f>
        <v>0</v>
      </c>
    </row>
    <row r="702" spans="1:11" x14ac:dyDescent="0.25">
      <c r="A702" s="40">
        <f>REGISTRO_B.DATOS!A703</f>
        <v>0</v>
      </c>
      <c r="B702" s="41">
        <f>REGISTRO_B.DATOS!B703</f>
        <v>0</v>
      </c>
      <c r="C702" s="41">
        <f>REGISTRO_B.DATOS!C703</f>
        <v>0</v>
      </c>
      <c r="D702" s="41">
        <f>REGISTRO_B.DATOS!D703</f>
        <v>0</v>
      </c>
      <c r="E702" s="42">
        <f>REGISTRO_B.DATOS!E703</f>
        <v>0</v>
      </c>
      <c r="F702" s="41">
        <f>REGISTRO_B.DATOS!F703</f>
        <v>0</v>
      </c>
      <c r="G702" s="41">
        <f>REGISTRO_B.DATOS!G703</f>
        <v>0</v>
      </c>
      <c r="H702" s="41">
        <f>REGISTRO_B.DATOS!H703</f>
        <v>0</v>
      </c>
      <c r="I702" s="41">
        <f>REGISTRO_B.DATOS!I703</f>
        <v>0</v>
      </c>
      <c r="J702" s="41">
        <f>REGISTRO_B.DATOS!J703</f>
        <v>0</v>
      </c>
      <c r="K702" s="43">
        <f>REGISTRO_B.DATOS!K703</f>
        <v>0</v>
      </c>
    </row>
    <row r="703" spans="1:11" x14ac:dyDescent="0.25">
      <c r="A703" s="40">
        <f>REGISTRO_B.DATOS!A704</f>
        <v>0</v>
      </c>
      <c r="B703" s="41">
        <f>REGISTRO_B.DATOS!B704</f>
        <v>0</v>
      </c>
      <c r="C703" s="41">
        <f>REGISTRO_B.DATOS!C704</f>
        <v>0</v>
      </c>
      <c r="D703" s="41">
        <f>REGISTRO_B.DATOS!D704</f>
        <v>0</v>
      </c>
      <c r="E703" s="42">
        <f>REGISTRO_B.DATOS!E704</f>
        <v>0</v>
      </c>
      <c r="F703" s="41">
        <f>REGISTRO_B.DATOS!F704</f>
        <v>0</v>
      </c>
      <c r="G703" s="41">
        <f>REGISTRO_B.DATOS!G704</f>
        <v>0</v>
      </c>
      <c r="H703" s="41">
        <f>REGISTRO_B.DATOS!H704</f>
        <v>0</v>
      </c>
      <c r="I703" s="41">
        <f>REGISTRO_B.DATOS!I704</f>
        <v>0</v>
      </c>
      <c r="J703" s="41">
        <f>REGISTRO_B.DATOS!J704</f>
        <v>0</v>
      </c>
      <c r="K703" s="43">
        <f>REGISTRO_B.DATOS!K704</f>
        <v>0</v>
      </c>
    </row>
    <row r="704" spans="1:11" x14ac:dyDescent="0.25">
      <c r="A704" s="40">
        <f>REGISTRO_B.DATOS!A705</f>
        <v>0</v>
      </c>
      <c r="B704" s="41">
        <f>REGISTRO_B.DATOS!B705</f>
        <v>0</v>
      </c>
      <c r="C704" s="41">
        <f>REGISTRO_B.DATOS!C705</f>
        <v>0</v>
      </c>
      <c r="D704" s="41">
        <f>REGISTRO_B.DATOS!D705</f>
        <v>0</v>
      </c>
      <c r="E704" s="42">
        <f>REGISTRO_B.DATOS!E705</f>
        <v>0</v>
      </c>
      <c r="F704" s="41">
        <f>REGISTRO_B.DATOS!F705</f>
        <v>0</v>
      </c>
      <c r="G704" s="41">
        <f>REGISTRO_B.DATOS!G705</f>
        <v>0</v>
      </c>
      <c r="H704" s="41">
        <f>REGISTRO_B.DATOS!H705</f>
        <v>0</v>
      </c>
      <c r="I704" s="41">
        <f>REGISTRO_B.DATOS!I705</f>
        <v>0</v>
      </c>
      <c r="J704" s="41">
        <f>REGISTRO_B.DATOS!J705</f>
        <v>0</v>
      </c>
      <c r="K704" s="43">
        <f>REGISTRO_B.DATOS!K705</f>
        <v>0</v>
      </c>
    </row>
    <row r="705" spans="1:11" x14ac:dyDescent="0.25">
      <c r="A705" s="40">
        <f>REGISTRO_B.DATOS!A706</f>
        <v>0</v>
      </c>
      <c r="B705" s="41">
        <f>REGISTRO_B.DATOS!B706</f>
        <v>0</v>
      </c>
      <c r="C705" s="41">
        <f>REGISTRO_B.DATOS!C706</f>
        <v>0</v>
      </c>
      <c r="D705" s="41">
        <f>REGISTRO_B.DATOS!D706</f>
        <v>0</v>
      </c>
      <c r="E705" s="42">
        <f>REGISTRO_B.DATOS!E706</f>
        <v>0</v>
      </c>
      <c r="F705" s="41">
        <f>REGISTRO_B.DATOS!F706</f>
        <v>0</v>
      </c>
      <c r="G705" s="41">
        <f>REGISTRO_B.DATOS!G706</f>
        <v>0</v>
      </c>
      <c r="H705" s="41">
        <f>REGISTRO_B.DATOS!H706</f>
        <v>0</v>
      </c>
      <c r="I705" s="41">
        <f>REGISTRO_B.DATOS!I706</f>
        <v>0</v>
      </c>
      <c r="J705" s="41">
        <f>REGISTRO_B.DATOS!J706</f>
        <v>0</v>
      </c>
      <c r="K705" s="43">
        <f>REGISTRO_B.DATOS!K706</f>
        <v>0</v>
      </c>
    </row>
    <row r="706" spans="1:11" x14ac:dyDescent="0.25">
      <c r="A706" s="40">
        <f>REGISTRO_B.DATOS!A707</f>
        <v>0</v>
      </c>
      <c r="B706" s="41">
        <f>REGISTRO_B.DATOS!B707</f>
        <v>0</v>
      </c>
      <c r="C706" s="41">
        <f>REGISTRO_B.DATOS!C707</f>
        <v>0</v>
      </c>
      <c r="D706" s="41">
        <f>REGISTRO_B.DATOS!D707</f>
        <v>0</v>
      </c>
      <c r="E706" s="42">
        <f>REGISTRO_B.DATOS!E707</f>
        <v>0</v>
      </c>
      <c r="F706" s="41">
        <f>REGISTRO_B.DATOS!F707</f>
        <v>0</v>
      </c>
      <c r="G706" s="41">
        <f>REGISTRO_B.DATOS!G707</f>
        <v>0</v>
      </c>
      <c r="H706" s="41">
        <f>REGISTRO_B.DATOS!H707</f>
        <v>0</v>
      </c>
      <c r="I706" s="41">
        <f>REGISTRO_B.DATOS!I707</f>
        <v>0</v>
      </c>
      <c r="J706" s="41">
        <f>REGISTRO_B.DATOS!J707</f>
        <v>0</v>
      </c>
      <c r="K706" s="43">
        <f>REGISTRO_B.DATOS!K707</f>
        <v>0</v>
      </c>
    </row>
    <row r="707" spans="1:11" x14ac:dyDescent="0.25">
      <c r="A707" s="40">
        <f>REGISTRO_B.DATOS!A708</f>
        <v>0</v>
      </c>
      <c r="B707" s="41">
        <f>REGISTRO_B.DATOS!B708</f>
        <v>0</v>
      </c>
      <c r="C707" s="41">
        <f>REGISTRO_B.DATOS!C708</f>
        <v>0</v>
      </c>
      <c r="D707" s="41">
        <f>REGISTRO_B.DATOS!D708</f>
        <v>0</v>
      </c>
      <c r="E707" s="42">
        <f>REGISTRO_B.DATOS!E708</f>
        <v>0</v>
      </c>
      <c r="F707" s="41">
        <f>REGISTRO_B.DATOS!F708</f>
        <v>0</v>
      </c>
      <c r="G707" s="41">
        <f>REGISTRO_B.DATOS!G708</f>
        <v>0</v>
      </c>
      <c r="H707" s="41">
        <f>REGISTRO_B.DATOS!H708</f>
        <v>0</v>
      </c>
      <c r="I707" s="41">
        <f>REGISTRO_B.DATOS!I708</f>
        <v>0</v>
      </c>
      <c r="J707" s="41">
        <f>REGISTRO_B.DATOS!J708</f>
        <v>0</v>
      </c>
      <c r="K707" s="43">
        <f>REGISTRO_B.DATOS!K708</f>
        <v>0</v>
      </c>
    </row>
    <row r="708" spans="1:11" x14ac:dyDescent="0.25">
      <c r="A708" s="40">
        <f>REGISTRO_B.DATOS!A709</f>
        <v>0</v>
      </c>
      <c r="B708" s="41">
        <f>REGISTRO_B.DATOS!B709</f>
        <v>0</v>
      </c>
      <c r="C708" s="41">
        <f>REGISTRO_B.DATOS!C709</f>
        <v>0</v>
      </c>
      <c r="D708" s="41">
        <f>REGISTRO_B.DATOS!D709</f>
        <v>0</v>
      </c>
      <c r="E708" s="42">
        <f>REGISTRO_B.DATOS!E709</f>
        <v>0</v>
      </c>
      <c r="F708" s="41">
        <f>REGISTRO_B.DATOS!F709</f>
        <v>0</v>
      </c>
      <c r="G708" s="41">
        <f>REGISTRO_B.DATOS!G709</f>
        <v>0</v>
      </c>
      <c r="H708" s="41">
        <f>REGISTRO_B.DATOS!H709</f>
        <v>0</v>
      </c>
      <c r="I708" s="41">
        <f>REGISTRO_B.DATOS!I709</f>
        <v>0</v>
      </c>
      <c r="J708" s="41">
        <f>REGISTRO_B.DATOS!J709</f>
        <v>0</v>
      </c>
      <c r="K708" s="43">
        <f>REGISTRO_B.DATOS!K709</f>
        <v>0</v>
      </c>
    </row>
    <row r="709" spans="1:11" x14ac:dyDescent="0.25">
      <c r="A709" s="40">
        <f>REGISTRO_B.DATOS!A710</f>
        <v>0</v>
      </c>
      <c r="B709" s="41">
        <f>REGISTRO_B.DATOS!B710</f>
        <v>0</v>
      </c>
      <c r="C709" s="41">
        <f>REGISTRO_B.DATOS!C710</f>
        <v>0</v>
      </c>
      <c r="D709" s="41">
        <f>REGISTRO_B.DATOS!D710</f>
        <v>0</v>
      </c>
      <c r="E709" s="42">
        <f>REGISTRO_B.DATOS!E710</f>
        <v>0</v>
      </c>
      <c r="F709" s="41">
        <f>REGISTRO_B.DATOS!F710</f>
        <v>0</v>
      </c>
      <c r="G709" s="41">
        <f>REGISTRO_B.DATOS!G710</f>
        <v>0</v>
      </c>
      <c r="H709" s="41">
        <f>REGISTRO_B.DATOS!H710</f>
        <v>0</v>
      </c>
      <c r="I709" s="41">
        <f>REGISTRO_B.DATOS!I710</f>
        <v>0</v>
      </c>
      <c r="J709" s="41">
        <f>REGISTRO_B.DATOS!J710</f>
        <v>0</v>
      </c>
      <c r="K709" s="43">
        <f>REGISTRO_B.DATOS!K710</f>
        <v>0</v>
      </c>
    </row>
    <row r="710" spans="1:11" x14ac:dyDescent="0.25">
      <c r="A710" s="40">
        <f>REGISTRO_B.DATOS!A711</f>
        <v>0</v>
      </c>
      <c r="B710" s="41">
        <f>REGISTRO_B.DATOS!B711</f>
        <v>0</v>
      </c>
      <c r="C710" s="41">
        <f>REGISTRO_B.DATOS!C711</f>
        <v>0</v>
      </c>
      <c r="D710" s="41">
        <f>REGISTRO_B.DATOS!D711</f>
        <v>0</v>
      </c>
      <c r="E710" s="42">
        <f>REGISTRO_B.DATOS!E711</f>
        <v>0</v>
      </c>
      <c r="F710" s="41">
        <f>REGISTRO_B.DATOS!F711</f>
        <v>0</v>
      </c>
      <c r="G710" s="41">
        <f>REGISTRO_B.DATOS!G711</f>
        <v>0</v>
      </c>
      <c r="H710" s="41">
        <f>REGISTRO_B.DATOS!H711</f>
        <v>0</v>
      </c>
      <c r="I710" s="41">
        <f>REGISTRO_B.DATOS!I711</f>
        <v>0</v>
      </c>
      <c r="J710" s="41">
        <f>REGISTRO_B.DATOS!J711</f>
        <v>0</v>
      </c>
      <c r="K710" s="43">
        <f>REGISTRO_B.DATOS!K711</f>
        <v>0</v>
      </c>
    </row>
    <row r="711" spans="1:11" x14ac:dyDescent="0.25">
      <c r="A711" s="40">
        <f>REGISTRO_B.DATOS!A712</f>
        <v>0</v>
      </c>
      <c r="B711" s="41">
        <f>REGISTRO_B.DATOS!B712</f>
        <v>0</v>
      </c>
      <c r="C711" s="41">
        <f>REGISTRO_B.DATOS!C712</f>
        <v>0</v>
      </c>
      <c r="D711" s="41">
        <f>REGISTRO_B.DATOS!D712</f>
        <v>0</v>
      </c>
      <c r="E711" s="42">
        <f>REGISTRO_B.DATOS!E712</f>
        <v>0</v>
      </c>
      <c r="F711" s="41">
        <f>REGISTRO_B.DATOS!F712</f>
        <v>0</v>
      </c>
      <c r="G711" s="41">
        <f>REGISTRO_B.DATOS!G712</f>
        <v>0</v>
      </c>
      <c r="H711" s="41">
        <f>REGISTRO_B.DATOS!H712</f>
        <v>0</v>
      </c>
      <c r="I711" s="41">
        <f>REGISTRO_B.DATOS!I712</f>
        <v>0</v>
      </c>
      <c r="J711" s="41">
        <f>REGISTRO_B.DATOS!J712</f>
        <v>0</v>
      </c>
      <c r="K711" s="43">
        <f>REGISTRO_B.DATOS!K712</f>
        <v>0</v>
      </c>
    </row>
    <row r="712" spans="1:11" x14ac:dyDescent="0.25">
      <c r="A712" s="40">
        <f>REGISTRO_B.DATOS!A713</f>
        <v>0</v>
      </c>
      <c r="B712" s="41">
        <f>REGISTRO_B.DATOS!B713</f>
        <v>0</v>
      </c>
      <c r="C712" s="41">
        <f>REGISTRO_B.DATOS!C713</f>
        <v>0</v>
      </c>
      <c r="D712" s="41">
        <f>REGISTRO_B.DATOS!D713</f>
        <v>0</v>
      </c>
      <c r="E712" s="42">
        <f>REGISTRO_B.DATOS!E713</f>
        <v>0</v>
      </c>
      <c r="F712" s="41">
        <f>REGISTRO_B.DATOS!F713</f>
        <v>0</v>
      </c>
      <c r="G712" s="41">
        <f>REGISTRO_B.DATOS!G713</f>
        <v>0</v>
      </c>
      <c r="H712" s="41">
        <f>REGISTRO_B.DATOS!H713</f>
        <v>0</v>
      </c>
      <c r="I712" s="41">
        <f>REGISTRO_B.DATOS!I713</f>
        <v>0</v>
      </c>
      <c r="J712" s="41">
        <f>REGISTRO_B.DATOS!J713</f>
        <v>0</v>
      </c>
      <c r="K712" s="43">
        <f>REGISTRO_B.DATOS!K713</f>
        <v>0</v>
      </c>
    </row>
    <row r="713" spans="1:11" x14ac:dyDescent="0.25">
      <c r="A713" s="40">
        <f>REGISTRO_B.DATOS!A714</f>
        <v>0</v>
      </c>
      <c r="B713" s="41">
        <f>REGISTRO_B.DATOS!B714</f>
        <v>0</v>
      </c>
      <c r="C713" s="41">
        <f>REGISTRO_B.DATOS!C714</f>
        <v>0</v>
      </c>
      <c r="D713" s="41">
        <f>REGISTRO_B.DATOS!D714</f>
        <v>0</v>
      </c>
      <c r="E713" s="42">
        <f>REGISTRO_B.DATOS!E714</f>
        <v>0</v>
      </c>
      <c r="F713" s="41">
        <f>REGISTRO_B.DATOS!F714</f>
        <v>0</v>
      </c>
      <c r="G713" s="41">
        <f>REGISTRO_B.DATOS!G714</f>
        <v>0</v>
      </c>
      <c r="H713" s="41">
        <f>REGISTRO_B.DATOS!H714</f>
        <v>0</v>
      </c>
      <c r="I713" s="41">
        <f>REGISTRO_B.DATOS!I714</f>
        <v>0</v>
      </c>
      <c r="J713" s="41">
        <f>REGISTRO_B.DATOS!J714</f>
        <v>0</v>
      </c>
      <c r="K713" s="43">
        <f>REGISTRO_B.DATOS!K714</f>
        <v>0</v>
      </c>
    </row>
    <row r="714" spans="1:11" x14ac:dyDescent="0.25">
      <c r="A714" s="40">
        <f>REGISTRO_B.DATOS!A715</f>
        <v>0</v>
      </c>
      <c r="B714" s="41">
        <f>REGISTRO_B.DATOS!B715</f>
        <v>0</v>
      </c>
      <c r="C714" s="41">
        <f>REGISTRO_B.DATOS!C715</f>
        <v>0</v>
      </c>
      <c r="D714" s="41">
        <f>REGISTRO_B.DATOS!D715</f>
        <v>0</v>
      </c>
      <c r="E714" s="42">
        <f>REGISTRO_B.DATOS!E715</f>
        <v>0</v>
      </c>
      <c r="F714" s="41">
        <f>REGISTRO_B.DATOS!F715</f>
        <v>0</v>
      </c>
      <c r="G714" s="41">
        <f>REGISTRO_B.DATOS!G715</f>
        <v>0</v>
      </c>
      <c r="H714" s="41">
        <f>REGISTRO_B.DATOS!H715</f>
        <v>0</v>
      </c>
      <c r="I714" s="41">
        <f>REGISTRO_B.DATOS!I715</f>
        <v>0</v>
      </c>
      <c r="J714" s="41">
        <f>REGISTRO_B.DATOS!J715</f>
        <v>0</v>
      </c>
      <c r="K714" s="43">
        <f>REGISTRO_B.DATOS!K715</f>
        <v>0</v>
      </c>
    </row>
    <row r="715" spans="1:11" x14ac:dyDescent="0.25">
      <c r="A715" s="40">
        <f>REGISTRO_B.DATOS!A716</f>
        <v>0</v>
      </c>
      <c r="B715" s="41">
        <f>REGISTRO_B.DATOS!B716</f>
        <v>0</v>
      </c>
      <c r="C715" s="41">
        <f>REGISTRO_B.DATOS!C716</f>
        <v>0</v>
      </c>
      <c r="D715" s="41">
        <f>REGISTRO_B.DATOS!D716</f>
        <v>0</v>
      </c>
      <c r="E715" s="42">
        <f>REGISTRO_B.DATOS!E716</f>
        <v>0</v>
      </c>
      <c r="F715" s="41">
        <f>REGISTRO_B.DATOS!F716</f>
        <v>0</v>
      </c>
      <c r="G715" s="41">
        <f>REGISTRO_B.DATOS!G716</f>
        <v>0</v>
      </c>
      <c r="H715" s="41">
        <f>REGISTRO_B.DATOS!H716</f>
        <v>0</v>
      </c>
      <c r="I715" s="41">
        <f>REGISTRO_B.DATOS!I716</f>
        <v>0</v>
      </c>
      <c r="J715" s="41">
        <f>REGISTRO_B.DATOS!J716</f>
        <v>0</v>
      </c>
      <c r="K715" s="43">
        <f>REGISTRO_B.DATOS!K716</f>
        <v>0</v>
      </c>
    </row>
    <row r="716" spans="1:11" x14ac:dyDescent="0.25">
      <c r="A716" s="40">
        <f>REGISTRO_B.DATOS!A717</f>
        <v>0</v>
      </c>
      <c r="B716" s="41">
        <f>REGISTRO_B.DATOS!B717</f>
        <v>0</v>
      </c>
      <c r="C716" s="41">
        <f>REGISTRO_B.DATOS!C717</f>
        <v>0</v>
      </c>
      <c r="D716" s="41">
        <f>REGISTRO_B.DATOS!D717</f>
        <v>0</v>
      </c>
      <c r="E716" s="42">
        <f>REGISTRO_B.DATOS!E717</f>
        <v>0</v>
      </c>
      <c r="F716" s="41">
        <f>REGISTRO_B.DATOS!F717</f>
        <v>0</v>
      </c>
      <c r="G716" s="41">
        <f>REGISTRO_B.DATOS!G717</f>
        <v>0</v>
      </c>
      <c r="H716" s="41">
        <f>REGISTRO_B.DATOS!H717</f>
        <v>0</v>
      </c>
      <c r="I716" s="41">
        <f>REGISTRO_B.DATOS!I717</f>
        <v>0</v>
      </c>
      <c r="J716" s="41">
        <f>REGISTRO_B.DATOS!J717</f>
        <v>0</v>
      </c>
      <c r="K716" s="43">
        <f>REGISTRO_B.DATOS!K717</f>
        <v>0</v>
      </c>
    </row>
    <row r="717" spans="1:11" x14ac:dyDescent="0.25">
      <c r="A717" s="40">
        <f>REGISTRO_B.DATOS!A718</f>
        <v>0</v>
      </c>
      <c r="B717" s="41">
        <f>REGISTRO_B.DATOS!B718</f>
        <v>0</v>
      </c>
      <c r="C717" s="41">
        <f>REGISTRO_B.DATOS!C718</f>
        <v>0</v>
      </c>
      <c r="D717" s="41">
        <f>REGISTRO_B.DATOS!D718</f>
        <v>0</v>
      </c>
      <c r="E717" s="42">
        <f>REGISTRO_B.DATOS!E718</f>
        <v>0</v>
      </c>
      <c r="F717" s="41">
        <f>REGISTRO_B.DATOS!F718</f>
        <v>0</v>
      </c>
      <c r="G717" s="41">
        <f>REGISTRO_B.DATOS!G718</f>
        <v>0</v>
      </c>
      <c r="H717" s="41">
        <f>REGISTRO_B.DATOS!H718</f>
        <v>0</v>
      </c>
      <c r="I717" s="41">
        <f>REGISTRO_B.DATOS!I718</f>
        <v>0</v>
      </c>
      <c r="J717" s="41">
        <f>REGISTRO_B.DATOS!J718</f>
        <v>0</v>
      </c>
      <c r="K717" s="43">
        <f>REGISTRO_B.DATOS!K718</f>
        <v>0</v>
      </c>
    </row>
    <row r="718" spans="1:11" x14ac:dyDescent="0.25">
      <c r="A718" s="40">
        <f>REGISTRO_B.DATOS!A719</f>
        <v>0</v>
      </c>
      <c r="B718" s="41">
        <f>REGISTRO_B.DATOS!B719</f>
        <v>0</v>
      </c>
      <c r="C718" s="41">
        <f>REGISTRO_B.DATOS!C719</f>
        <v>0</v>
      </c>
      <c r="D718" s="41">
        <f>REGISTRO_B.DATOS!D719</f>
        <v>0</v>
      </c>
      <c r="E718" s="42">
        <f>REGISTRO_B.DATOS!E719</f>
        <v>0</v>
      </c>
      <c r="F718" s="41">
        <f>REGISTRO_B.DATOS!F719</f>
        <v>0</v>
      </c>
      <c r="G718" s="41">
        <f>REGISTRO_B.DATOS!G719</f>
        <v>0</v>
      </c>
      <c r="H718" s="41">
        <f>REGISTRO_B.DATOS!H719</f>
        <v>0</v>
      </c>
      <c r="I718" s="41">
        <f>REGISTRO_B.DATOS!I719</f>
        <v>0</v>
      </c>
      <c r="J718" s="41">
        <f>REGISTRO_B.DATOS!J719</f>
        <v>0</v>
      </c>
      <c r="K718" s="43">
        <f>REGISTRO_B.DATOS!K719</f>
        <v>0</v>
      </c>
    </row>
    <row r="719" spans="1:11" x14ac:dyDescent="0.25">
      <c r="A719" s="40">
        <f>REGISTRO_B.DATOS!A720</f>
        <v>0</v>
      </c>
      <c r="B719" s="41">
        <f>REGISTRO_B.DATOS!B720</f>
        <v>0</v>
      </c>
      <c r="C719" s="41">
        <f>REGISTRO_B.DATOS!C720</f>
        <v>0</v>
      </c>
      <c r="D719" s="41">
        <f>REGISTRO_B.DATOS!D720</f>
        <v>0</v>
      </c>
      <c r="E719" s="42">
        <f>REGISTRO_B.DATOS!E720</f>
        <v>0</v>
      </c>
      <c r="F719" s="41">
        <f>REGISTRO_B.DATOS!F720</f>
        <v>0</v>
      </c>
      <c r="G719" s="41">
        <f>REGISTRO_B.DATOS!G720</f>
        <v>0</v>
      </c>
      <c r="H719" s="41">
        <f>REGISTRO_B.DATOS!H720</f>
        <v>0</v>
      </c>
      <c r="I719" s="41">
        <f>REGISTRO_B.DATOS!I720</f>
        <v>0</v>
      </c>
      <c r="J719" s="41">
        <f>REGISTRO_B.DATOS!J720</f>
        <v>0</v>
      </c>
      <c r="K719" s="43">
        <f>REGISTRO_B.DATOS!K720</f>
        <v>0</v>
      </c>
    </row>
    <row r="720" spans="1:11" x14ac:dyDescent="0.25">
      <c r="A720" s="40">
        <f>REGISTRO_B.DATOS!A721</f>
        <v>0</v>
      </c>
      <c r="B720" s="41">
        <f>REGISTRO_B.DATOS!B721</f>
        <v>0</v>
      </c>
      <c r="C720" s="41">
        <f>REGISTRO_B.DATOS!C721</f>
        <v>0</v>
      </c>
      <c r="D720" s="41">
        <f>REGISTRO_B.DATOS!D721</f>
        <v>0</v>
      </c>
      <c r="E720" s="42">
        <f>REGISTRO_B.DATOS!E721</f>
        <v>0</v>
      </c>
      <c r="F720" s="41">
        <f>REGISTRO_B.DATOS!F721</f>
        <v>0</v>
      </c>
      <c r="G720" s="41">
        <f>REGISTRO_B.DATOS!G721</f>
        <v>0</v>
      </c>
      <c r="H720" s="41">
        <f>REGISTRO_B.DATOS!H721</f>
        <v>0</v>
      </c>
      <c r="I720" s="41">
        <f>REGISTRO_B.DATOS!I721</f>
        <v>0</v>
      </c>
      <c r="J720" s="41">
        <f>REGISTRO_B.DATOS!J721</f>
        <v>0</v>
      </c>
      <c r="K720" s="43">
        <f>REGISTRO_B.DATOS!K721</f>
        <v>0</v>
      </c>
    </row>
    <row r="721" spans="1:11" x14ac:dyDescent="0.25">
      <c r="A721" s="40">
        <f>REGISTRO_B.DATOS!A722</f>
        <v>0</v>
      </c>
      <c r="B721" s="41">
        <f>REGISTRO_B.DATOS!B722</f>
        <v>0</v>
      </c>
      <c r="C721" s="41">
        <f>REGISTRO_B.DATOS!C722</f>
        <v>0</v>
      </c>
      <c r="D721" s="41">
        <f>REGISTRO_B.DATOS!D722</f>
        <v>0</v>
      </c>
      <c r="E721" s="42">
        <f>REGISTRO_B.DATOS!E722</f>
        <v>0</v>
      </c>
      <c r="F721" s="41">
        <f>REGISTRO_B.DATOS!F722</f>
        <v>0</v>
      </c>
      <c r="G721" s="41">
        <f>REGISTRO_B.DATOS!G722</f>
        <v>0</v>
      </c>
      <c r="H721" s="41">
        <f>REGISTRO_B.DATOS!H722</f>
        <v>0</v>
      </c>
      <c r="I721" s="41">
        <f>REGISTRO_B.DATOS!I722</f>
        <v>0</v>
      </c>
      <c r="J721" s="41">
        <f>REGISTRO_B.DATOS!J722</f>
        <v>0</v>
      </c>
      <c r="K721" s="43">
        <f>REGISTRO_B.DATOS!K722</f>
        <v>0</v>
      </c>
    </row>
    <row r="722" spans="1:11" x14ac:dyDescent="0.25">
      <c r="A722" s="40">
        <f>REGISTRO_B.DATOS!A723</f>
        <v>0</v>
      </c>
      <c r="B722" s="41">
        <f>REGISTRO_B.DATOS!B723</f>
        <v>0</v>
      </c>
      <c r="C722" s="41">
        <f>REGISTRO_B.DATOS!C723</f>
        <v>0</v>
      </c>
      <c r="D722" s="41">
        <f>REGISTRO_B.DATOS!D723</f>
        <v>0</v>
      </c>
      <c r="E722" s="42">
        <f>REGISTRO_B.DATOS!E723</f>
        <v>0</v>
      </c>
      <c r="F722" s="41">
        <f>REGISTRO_B.DATOS!F723</f>
        <v>0</v>
      </c>
      <c r="G722" s="41">
        <f>REGISTRO_B.DATOS!G723</f>
        <v>0</v>
      </c>
      <c r="H722" s="41">
        <f>REGISTRO_B.DATOS!H723</f>
        <v>0</v>
      </c>
      <c r="I722" s="41">
        <f>REGISTRO_B.DATOS!I723</f>
        <v>0</v>
      </c>
      <c r="J722" s="41">
        <f>REGISTRO_B.DATOS!J723</f>
        <v>0</v>
      </c>
      <c r="K722" s="43">
        <f>REGISTRO_B.DATOS!K723</f>
        <v>0</v>
      </c>
    </row>
    <row r="723" spans="1:11" x14ac:dyDescent="0.25">
      <c r="A723" s="40">
        <f>REGISTRO_B.DATOS!A724</f>
        <v>0</v>
      </c>
      <c r="B723" s="41">
        <f>REGISTRO_B.DATOS!B724</f>
        <v>0</v>
      </c>
      <c r="C723" s="41">
        <f>REGISTRO_B.DATOS!C724</f>
        <v>0</v>
      </c>
      <c r="D723" s="41">
        <f>REGISTRO_B.DATOS!D724</f>
        <v>0</v>
      </c>
      <c r="E723" s="42">
        <f>REGISTRO_B.DATOS!E724</f>
        <v>0</v>
      </c>
      <c r="F723" s="41">
        <f>REGISTRO_B.DATOS!F724</f>
        <v>0</v>
      </c>
      <c r="G723" s="41">
        <f>REGISTRO_B.DATOS!G724</f>
        <v>0</v>
      </c>
      <c r="H723" s="41">
        <f>REGISTRO_B.DATOS!H724</f>
        <v>0</v>
      </c>
      <c r="I723" s="41">
        <f>REGISTRO_B.DATOS!I724</f>
        <v>0</v>
      </c>
      <c r="J723" s="41">
        <f>REGISTRO_B.DATOS!J724</f>
        <v>0</v>
      </c>
      <c r="K723" s="43">
        <f>REGISTRO_B.DATOS!K724</f>
        <v>0</v>
      </c>
    </row>
    <row r="724" spans="1:11" x14ac:dyDescent="0.25">
      <c r="A724" s="40">
        <f>REGISTRO_B.DATOS!A725</f>
        <v>0</v>
      </c>
      <c r="B724" s="41">
        <f>REGISTRO_B.DATOS!B725</f>
        <v>0</v>
      </c>
      <c r="C724" s="41">
        <f>REGISTRO_B.DATOS!C725</f>
        <v>0</v>
      </c>
      <c r="D724" s="41">
        <f>REGISTRO_B.DATOS!D725</f>
        <v>0</v>
      </c>
      <c r="E724" s="42">
        <f>REGISTRO_B.DATOS!E725</f>
        <v>0</v>
      </c>
      <c r="F724" s="41">
        <f>REGISTRO_B.DATOS!F725</f>
        <v>0</v>
      </c>
      <c r="G724" s="41">
        <f>REGISTRO_B.DATOS!G725</f>
        <v>0</v>
      </c>
      <c r="H724" s="41">
        <f>REGISTRO_B.DATOS!H725</f>
        <v>0</v>
      </c>
      <c r="I724" s="41">
        <f>REGISTRO_B.DATOS!I725</f>
        <v>0</v>
      </c>
      <c r="J724" s="41">
        <f>REGISTRO_B.DATOS!J725</f>
        <v>0</v>
      </c>
      <c r="K724" s="43">
        <f>REGISTRO_B.DATOS!K725</f>
        <v>0</v>
      </c>
    </row>
    <row r="725" spans="1:11" x14ac:dyDescent="0.25">
      <c r="A725" s="40">
        <f>REGISTRO_B.DATOS!A726</f>
        <v>0</v>
      </c>
      <c r="B725" s="41">
        <f>REGISTRO_B.DATOS!B726</f>
        <v>0</v>
      </c>
      <c r="C725" s="41">
        <f>REGISTRO_B.DATOS!C726</f>
        <v>0</v>
      </c>
      <c r="D725" s="41">
        <f>REGISTRO_B.DATOS!D726</f>
        <v>0</v>
      </c>
      <c r="E725" s="42">
        <f>REGISTRO_B.DATOS!E726</f>
        <v>0</v>
      </c>
      <c r="F725" s="41">
        <f>REGISTRO_B.DATOS!F726</f>
        <v>0</v>
      </c>
      <c r="G725" s="41">
        <f>REGISTRO_B.DATOS!G726</f>
        <v>0</v>
      </c>
      <c r="H725" s="41">
        <f>REGISTRO_B.DATOS!H726</f>
        <v>0</v>
      </c>
      <c r="I725" s="41">
        <f>REGISTRO_B.DATOS!I726</f>
        <v>0</v>
      </c>
      <c r="J725" s="41">
        <f>REGISTRO_B.DATOS!J726</f>
        <v>0</v>
      </c>
      <c r="K725" s="43">
        <f>REGISTRO_B.DATOS!K726</f>
        <v>0</v>
      </c>
    </row>
    <row r="726" spans="1:11" x14ac:dyDescent="0.25">
      <c r="A726" s="40">
        <f>REGISTRO_B.DATOS!A727</f>
        <v>0</v>
      </c>
      <c r="B726" s="41">
        <f>REGISTRO_B.DATOS!B727</f>
        <v>0</v>
      </c>
      <c r="C726" s="41">
        <f>REGISTRO_B.DATOS!C727</f>
        <v>0</v>
      </c>
      <c r="D726" s="41">
        <f>REGISTRO_B.DATOS!D727</f>
        <v>0</v>
      </c>
      <c r="E726" s="42">
        <f>REGISTRO_B.DATOS!E727</f>
        <v>0</v>
      </c>
      <c r="F726" s="41">
        <f>REGISTRO_B.DATOS!F727</f>
        <v>0</v>
      </c>
      <c r="G726" s="41">
        <f>REGISTRO_B.DATOS!G727</f>
        <v>0</v>
      </c>
      <c r="H726" s="41">
        <f>REGISTRO_B.DATOS!H727</f>
        <v>0</v>
      </c>
      <c r="I726" s="41">
        <f>REGISTRO_B.DATOS!I727</f>
        <v>0</v>
      </c>
      <c r="J726" s="41">
        <f>REGISTRO_B.DATOS!J727</f>
        <v>0</v>
      </c>
      <c r="K726" s="43">
        <f>REGISTRO_B.DATOS!K727</f>
        <v>0</v>
      </c>
    </row>
    <row r="727" spans="1:11" x14ac:dyDescent="0.25">
      <c r="A727" s="40">
        <f>REGISTRO_B.DATOS!A728</f>
        <v>0</v>
      </c>
      <c r="B727" s="41">
        <f>REGISTRO_B.DATOS!B728</f>
        <v>0</v>
      </c>
      <c r="C727" s="41">
        <f>REGISTRO_B.DATOS!C728</f>
        <v>0</v>
      </c>
      <c r="D727" s="41">
        <f>REGISTRO_B.DATOS!D728</f>
        <v>0</v>
      </c>
      <c r="E727" s="42">
        <f>REGISTRO_B.DATOS!E728</f>
        <v>0</v>
      </c>
      <c r="F727" s="41">
        <f>REGISTRO_B.DATOS!F728</f>
        <v>0</v>
      </c>
      <c r="G727" s="41">
        <f>REGISTRO_B.DATOS!G728</f>
        <v>0</v>
      </c>
      <c r="H727" s="41">
        <f>REGISTRO_B.DATOS!H728</f>
        <v>0</v>
      </c>
      <c r="I727" s="41">
        <f>REGISTRO_B.DATOS!I728</f>
        <v>0</v>
      </c>
      <c r="J727" s="41">
        <f>REGISTRO_B.DATOS!J728</f>
        <v>0</v>
      </c>
      <c r="K727" s="43">
        <f>REGISTRO_B.DATOS!K728</f>
        <v>0</v>
      </c>
    </row>
    <row r="728" spans="1:11" x14ac:dyDescent="0.25">
      <c r="A728" s="40">
        <f>REGISTRO_B.DATOS!A729</f>
        <v>0</v>
      </c>
      <c r="B728" s="41">
        <f>REGISTRO_B.DATOS!B729</f>
        <v>0</v>
      </c>
      <c r="C728" s="41">
        <f>REGISTRO_B.DATOS!C729</f>
        <v>0</v>
      </c>
      <c r="D728" s="41">
        <f>REGISTRO_B.DATOS!D729</f>
        <v>0</v>
      </c>
      <c r="E728" s="42">
        <f>REGISTRO_B.DATOS!E729</f>
        <v>0</v>
      </c>
      <c r="F728" s="41">
        <f>REGISTRO_B.DATOS!F729</f>
        <v>0</v>
      </c>
      <c r="G728" s="41">
        <f>REGISTRO_B.DATOS!G729</f>
        <v>0</v>
      </c>
      <c r="H728" s="41">
        <f>REGISTRO_B.DATOS!H729</f>
        <v>0</v>
      </c>
      <c r="I728" s="41">
        <f>REGISTRO_B.DATOS!I729</f>
        <v>0</v>
      </c>
      <c r="J728" s="41">
        <f>REGISTRO_B.DATOS!J729</f>
        <v>0</v>
      </c>
      <c r="K728" s="43">
        <f>REGISTRO_B.DATOS!K729</f>
        <v>0</v>
      </c>
    </row>
    <row r="729" spans="1:11" x14ac:dyDescent="0.25">
      <c r="A729" s="40">
        <f>REGISTRO_B.DATOS!A730</f>
        <v>0</v>
      </c>
      <c r="B729" s="41">
        <f>REGISTRO_B.DATOS!B730</f>
        <v>0</v>
      </c>
      <c r="C729" s="41">
        <f>REGISTRO_B.DATOS!C730</f>
        <v>0</v>
      </c>
      <c r="D729" s="41">
        <f>REGISTRO_B.DATOS!D730</f>
        <v>0</v>
      </c>
      <c r="E729" s="42">
        <f>REGISTRO_B.DATOS!E730</f>
        <v>0</v>
      </c>
      <c r="F729" s="41">
        <f>REGISTRO_B.DATOS!F730</f>
        <v>0</v>
      </c>
      <c r="G729" s="41">
        <f>REGISTRO_B.DATOS!G730</f>
        <v>0</v>
      </c>
      <c r="H729" s="41">
        <f>REGISTRO_B.DATOS!H730</f>
        <v>0</v>
      </c>
      <c r="I729" s="41">
        <f>REGISTRO_B.DATOS!I730</f>
        <v>0</v>
      </c>
      <c r="J729" s="41">
        <f>REGISTRO_B.DATOS!J730</f>
        <v>0</v>
      </c>
      <c r="K729" s="43">
        <f>REGISTRO_B.DATOS!K730</f>
        <v>0</v>
      </c>
    </row>
    <row r="730" spans="1:11" x14ac:dyDescent="0.25">
      <c r="A730" s="40">
        <f>REGISTRO_B.DATOS!A731</f>
        <v>0</v>
      </c>
      <c r="B730" s="41">
        <f>REGISTRO_B.DATOS!B731</f>
        <v>0</v>
      </c>
      <c r="C730" s="41">
        <f>REGISTRO_B.DATOS!C731</f>
        <v>0</v>
      </c>
      <c r="D730" s="41">
        <f>REGISTRO_B.DATOS!D731</f>
        <v>0</v>
      </c>
      <c r="E730" s="42">
        <f>REGISTRO_B.DATOS!E731</f>
        <v>0</v>
      </c>
      <c r="F730" s="41">
        <f>REGISTRO_B.DATOS!F731</f>
        <v>0</v>
      </c>
      <c r="G730" s="41">
        <f>REGISTRO_B.DATOS!G731</f>
        <v>0</v>
      </c>
      <c r="H730" s="41">
        <f>REGISTRO_B.DATOS!H731</f>
        <v>0</v>
      </c>
      <c r="I730" s="41">
        <f>REGISTRO_B.DATOS!I731</f>
        <v>0</v>
      </c>
      <c r="J730" s="41">
        <f>REGISTRO_B.DATOS!J731</f>
        <v>0</v>
      </c>
      <c r="K730" s="43">
        <f>REGISTRO_B.DATOS!K731</f>
        <v>0</v>
      </c>
    </row>
    <row r="731" spans="1:11" x14ac:dyDescent="0.25">
      <c r="A731" s="40">
        <f>REGISTRO_B.DATOS!A732</f>
        <v>0</v>
      </c>
      <c r="B731" s="41">
        <f>REGISTRO_B.DATOS!B732</f>
        <v>0</v>
      </c>
      <c r="C731" s="41">
        <f>REGISTRO_B.DATOS!C732</f>
        <v>0</v>
      </c>
      <c r="D731" s="41">
        <f>REGISTRO_B.DATOS!D732</f>
        <v>0</v>
      </c>
      <c r="E731" s="42">
        <f>REGISTRO_B.DATOS!E732</f>
        <v>0</v>
      </c>
      <c r="F731" s="41">
        <f>REGISTRO_B.DATOS!F732</f>
        <v>0</v>
      </c>
      <c r="G731" s="41">
        <f>REGISTRO_B.DATOS!G732</f>
        <v>0</v>
      </c>
      <c r="H731" s="41">
        <f>REGISTRO_B.DATOS!H732</f>
        <v>0</v>
      </c>
      <c r="I731" s="41">
        <f>REGISTRO_B.DATOS!I732</f>
        <v>0</v>
      </c>
      <c r="J731" s="41">
        <f>REGISTRO_B.DATOS!J732</f>
        <v>0</v>
      </c>
      <c r="K731" s="43">
        <f>REGISTRO_B.DATOS!K732</f>
        <v>0</v>
      </c>
    </row>
    <row r="732" spans="1:11" x14ac:dyDescent="0.25">
      <c r="A732" s="40">
        <f>REGISTRO_B.DATOS!A733</f>
        <v>0</v>
      </c>
      <c r="B732" s="41">
        <f>REGISTRO_B.DATOS!B733</f>
        <v>0</v>
      </c>
      <c r="C732" s="41">
        <f>REGISTRO_B.DATOS!C733</f>
        <v>0</v>
      </c>
      <c r="D732" s="41">
        <f>REGISTRO_B.DATOS!D733</f>
        <v>0</v>
      </c>
      <c r="E732" s="42">
        <f>REGISTRO_B.DATOS!E733</f>
        <v>0</v>
      </c>
      <c r="F732" s="41">
        <f>REGISTRO_B.DATOS!F733</f>
        <v>0</v>
      </c>
      <c r="G732" s="41">
        <f>REGISTRO_B.DATOS!G733</f>
        <v>0</v>
      </c>
      <c r="H732" s="41">
        <f>REGISTRO_B.DATOS!H733</f>
        <v>0</v>
      </c>
      <c r="I732" s="41">
        <f>REGISTRO_B.DATOS!I733</f>
        <v>0</v>
      </c>
      <c r="J732" s="41">
        <f>REGISTRO_B.DATOS!J733</f>
        <v>0</v>
      </c>
      <c r="K732" s="43">
        <f>REGISTRO_B.DATOS!K733</f>
        <v>0</v>
      </c>
    </row>
    <row r="733" spans="1:11" x14ac:dyDescent="0.25">
      <c r="A733" s="40">
        <f>REGISTRO_B.DATOS!A734</f>
        <v>0</v>
      </c>
      <c r="B733" s="41">
        <f>REGISTRO_B.DATOS!B734</f>
        <v>0</v>
      </c>
      <c r="C733" s="41">
        <f>REGISTRO_B.DATOS!C734</f>
        <v>0</v>
      </c>
      <c r="D733" s="41">
        <f>REGISTRO_B.DATOS!D734</f>
        <v>0</v>
      </c>
      <c r="E733" s="42">
        <f>REGISTRO_B.DATOS!E734</f>
        <v>0</v>
      </c>
      <c r="F733" s="41">
        <f>REGISTRO_B.DATOS!F734</f>
        <v>0</v>
      </c>
      <c r="G733" s="41">
        <f>REGISTRO_B.DATOS!G734</f>
        <v>0</v>
      </c>
      <c r="H733" s="41">
        <f>REGISTRO_B.DATOS!H734</f>
        <v>0</v>
      </c>
      <c r="I733" s="41">
        <f>REGISTRO_B.DATOS!I734</f>
        <v>0</v>
      </c>
      <c r="J733" s="41">
        <f>REGISTRO_B.DATOS!J734</f>
        <v>0</v>
      </c>
      <c r="K733" s="43">
        <f>REGISTRO_B.DATOS!K734</f>
        <v>0</v>
      </c>
    </row>
    <row r="734" spans="1:11" x14ac:dyDescent="0.25">
      <c r="A734" s="40">
        <f>REGISTRO_B.DATOS!A735</f>
        <v>0</v>
      </c>
      <c r="B734" s="41">
        <f>REGISTRO_B.DATOS!B735</f>
        <v>0</v>
      </c>
      <c r="C734" s="41">
        <f>REGISTRO_B.DATOS!C735</f>
        <v>0</v>
      </c>
      <c r="D734" s="41">
        <f>REGISTRO_B.DATOS!D735</f>
        <v>0</v>
      </c>
      <c r="E734" s="42">
        <f>REGISTRO_B.DATOS!E735</f>
        <v>0</v>
      </c>
      <c r="F734" s="41">
        <f>REGISTRO_B.DATOS!F735</f>
        <v>0</v>
      </c>
      <c r="G734" s="41">
        <f>REGISTRO_B.DATOS!G735</f>
        <v>0</v>
      </c>
      <c r="H734" s="41">
        <f>REGISTRO_B.DATOS!H735</f>
        <v>0</v>
      </c>
      <c r="I734" s="41">
        <f>REGISTRO_B.DATOS!I735</f>
        <v>0</v>
      </c>
      <c r="J734" s="41">
        <f>REGISTRO_B.DATOS!J735</f>
        <v>0</v>
      </c>
      <c r="K734" s="43">
        <f>REGISTRO_B.DATOS!K735</f>
        <v>0</v>
      </c>
    </row>
    <row r="735" spans="1:11" x14ac:dyDescent="0.25">
      <c r="A735" s="40">
        <f>REGISTRO_B.DATOS!A736</f>
        <v>0</v>
      </c>
      <c r="B735" s="41">
        <f>REGISTRO_B.DATOS!B736</f>
        <v>0</v>
      </c>
      <c r="C735" s="41">
        <f>REGISTRO_B.DATOS!C736</f>
        <v>0</v>
      </c>
      <c r="D735" s="41">
        <f>REGISTRO_B.DATOS!D736</f>
        <v>0</v>
      </c>
      <c r="E735" s="42">
        <f>REGISTRO_B.DATOS!E736</f>
        <v>0</v>
      </c>
      <c r="F735" s="41">
        <f>REGISTRO_B.DATOS!F736</f>
        <v>0</v>
      </c>
      <c r="G735" s="41">
        <f>REGISTRO_B.DATOS!G736</f>
        <v>0</v>
      </c>
      <c r="H735" s="41">
        <f>REGISTRO_B.DATOS!H736</f>
        <v>0</v>
      </c>
      <c r="I735" s="41">
        <f>REGISTRO_B.DATOS!I736</f>
        <v>0</v>
      </c>
      <c r="J735" s="41">
        <f>REGISTRO_B.DATOS!J736</f>
        <v>0</v>
      </c>
      <c r="K735" s="43">
        <f>REGISTRO_B.DATOS!K736</f>
        <v>0</v>
      </c>
    </row>
    <row r="736" spans="1:11" x14ac:dyDescent="0.25">
      <c r="A736" s="40">
        <f>REGISTRO_B.DATOS!A737</f>
        <v>0</v>
      </c>
      <c r="B736" s="41">
        <f>REGISTRO_B.DATOS!B737</f>
        <v>0</v>
      </c>
      <c r="C736" s="41">
        <f>REGISTRO_B.DATOS!C737</f>
        <v>0</v>
      </c>
      <c r="D736" s="41">
        <f>REGISTRO_B.DATOS!D737</f>
        <v>0</v>
      </c>
      <c r="E736" s="42">
        <f>REGISTRO_B.DATOS!E737</f>
        <v>0</v>
      </c>
      <c r="F736" s="41">
        <f>REGISTRO_B.DATOS!F737</f>
        <v>0</v>
      </c>
      <c r="G736" s="41">
        <f>REGISTRO_B.DATOS!G737</f>
        <v>0</v>
      </c>
      <c r="H736" s="41">
        <f>REGISTRO_B.DATOS!H737</f>
        <v>0</v>
      </c>
      <c r="I736" s="41">
        <f>REGISTRO_B.DATOS!I737</f>
        <v>0</v>
      </c>
      <c r="J736" s="41">
        <f>REGISTRO_B.DATOS!J737</f>
        <v>0</v>
      </c>
      <c r="K736" s="43">
        <f>REGISTRO_B.DATOS!K737</f>
        <v>0</v>
      </c>
    </row>
    <row r="737" spans="1:11" x14ac:dyDescent="0.25">
      <c r="A737" s="40">
        <f>REGISTRO_B.DATOS!A738</f>
        <v>0</v>
      </c>
      <c r="B737" s="41">
        <f>REGISTRO_B.DATOS!B738</f>
        <v>0</v>
      </c>
      <c r="C737" s="41">
        <f>REGISTRO_B.DATOS!C738</f>
        <v>0</v>
      </c>
      <c r="D737" s="41">
        <f>REGISTRO_B.DATOS!D738</f>
        <v>0</v>
      </c>
      <c r="E737" s="42">
        <f>REGISTRO_B.DATOS!E738</f>
        <v>0</v>
      </c>
      <c r="F737" s="41">
        <f>REGISTRO_B.DATOS!F738</f>
        <v>0</v>
      </c>
      <c r="G737" s="41">
        <f>REGISTRO_B.DATOS!G738</f>
        <v>0</v>
      </c>
      <c r="H737" s="41">
        <f>REGISTRO_B.DATOS!H738</f>
        <v>0</v>
      </c>
      <c r="I737" s="41">
        <f>REGISTRO_B.DATOS!I738</f>
        <v>0</v>
      </c>
      <c r="J737" s="41">
        <f>REGISTRO_B.DATOS!J738</f>
        <v>0</v>
      </c>
      <c r="K737" s="43">
        <f>REGISTRO_B.DATOS!K738</f>
        <v>0</v>
      </c>
    </row>
    <row r="738" spans="1:11" x14ac:dyDescent="0.25">
      <c r="A738" s="40">
        <f>REGISTRO_B.DATOS!A739</f>
        <v>0</v>
      </c>
      <c r="B738" s="41">
        <f>REGISTRO_B.DATOS!B739</f>
        <v>0</v>
      </c>
      <c r="C738" s="41">
        <f>REGISTRO_B.DATOS!C739</f>
        <v>0</v>
      </c>
      <c r="D738" s="41">
        <f>REGISTRO_B.DATOS!D739</f>
        <v>0</v>
      </c>
      <c r="E738" s="42">
        <f>REGISTRO_B.DATOS!E739</f>
        <v>0</v>
      </c>
      <c r="F738" s="41">
        <f>REGISTRO_B.DATOS!F739</f>
        <v>0</v>
      </c>
      <c r="G738" s="41">
        <f>REGISTRO_B.DATOS!G739</f>
        <v>0</v>
      </c>
      <c r="H738" s="41">
        <f>REGISTRO_B.DATOS!H739</f>
        <v>0</v>
      </c>
      <c r="I738" s="41">
        <f>REGISTRO_B.DATOS!I739</f>
        <v>0</v>
      </c>
      <c r="J738" s="41">
        <f>REGISTRO_B.DATOS!J739</f>
        <v>0</v>
      </c>
      <c r="K738" s="43">
        <f>REGISTRO_B.DATOS!K739</f>
        <v>0</v>
      </c>
    </row>
    <row r="739" spans="1:11" x14ac:dyDescent="0.25">
      <c r="A739" s="40">
        <f>REGISTRO_B.DATOS!A740</f>
        <v>0</v>
      </c>
      <c r="B739" s="41">
        <f>REGISTRO_B.DATOS!B740</f>
        <v>0</v>
      </c>
      <c r="C739" s="41">
        <f>REGISTRO_B.DATOS!C740</f>
        <v>0</v>
      </c>
      <c r="D739" s="41">
        <f>REGISTRO_B.DATOS!D740</f>
        <v>0</v>
      </c>
      <c r="E739" s="42">
        <f>REGISTRO_B.DATOS!E740</f>
        <v>0</v>
      </c>
      <c r="F739" s="41">
        <f>REGISTRO_B.DATOS!F740</f>
        <v>0</v>
      </c>
      <c r="G739" s="41">
        <f>REGISTRO_B.DATOS!G740</f>
        <v>0</v>
      </c>
      <c r="H739" s="41">
        <f>REGISTRO_B.DATOS!H740</f>
        <v>0</v>
      </c>
      <c r="I739" s="41">
        <f>REGISTRO_B.DATOS!I740</f>
        <v>0</v>
      </c>
      <c r="J739" s="41">
        <f>REGISTRO_B.DATOS!J740</f>
        <v>0</v>
      </c>
      <c r="K739" s="43">
        <f>REGISTRO_B.DATOS!K740</f>
        <v>0</v>
      </c>
    </row>
    <row r="740" spans="1:11" x14ac:dyDescent="0.25">
      <c r="A740" s="40">
        <f>REGISTRO_B.DATOS!A741</f>
        <v>0</v>
      </c>
      <c r="B740" s="41">
        <f>REGISTRO_B.DATOS!B741</f>
        <v>0</v>
      </c>
      <c r="C740" s="41">
        <f>REGISTRO_B.DATOS!C741</f>
        <v>0</v>
      </c>
      <c r="D740" s="41">
        <f>REGISTRO_B.DATOS!D741</f>
        <v>0</v>
      </c>
      <c r="E740" s="42">
        <f>REGISTRO_B.DATOS!E741</f>
        <v>0</v>
      </c>
      <c r="F740" s="41">
        <f>REGISTRO_B.DATOS!F741</f>
        <v>0</v>
      </c>
      <c r="G740" s="41">
        <f>REGISTRO_B.DATOS!G741</f>
        <v>0</v>
      </c>
      <c r="H740" s="41">
        <f>REGISTRO_B.DATOS!H741</f>
        <v>0</v>
      </c>
      <c r="I740" s="41">
        <f>REGISTRO_B.DATOS!I741</f>
        <v>0</v>
      </c>
      <c r="J740" s="41">
        <f>REGISTRO_B.DATOS!J741</f>
        <v>0</v>
      </c>
      <c r="K740" s="43">
        <f>REGISTRO_B.DATOS!K741</f>
        <v>0</v>
      </c>
    </row>
    <row r="741" spans="1:11" x14ac:dyDescent="0.25">
      <c r="A741" s="40">
        <f>REGISTRO_B.DATOS!A742</f>
        <v>0</v>
      </c>
      <c r="B741" s="41">
        <f>REGISTRO_B.DATOS!B742</f>
        <v>0</v>
      </c>
      <c r="C741" s="41">
        <f>REGISTRO_B.DATOS!C742</f>
        <v>0</v>
      </c>
      <c r="D741" s="41">
        <f>REGISTRO_B.DATOS!D742</f>
        <v>0</v>
      </c>
      <c r="E741" s="42">
        <f>REGISTRO_B.DATOS!E742</f>
        <v>0</v>
      </c>
      <c r="F741" s="41">
        <f>REGISTRO_B.DATOS!F742</f>
        <v>0</v>
      </c>
      <c r="G741" s="41">
        <f>REGISTRO_B.DATOS!G742</f>
        <v>0</v>
      </c>
      <c r="H741" s="41">
        <f>REGISTRO_B.DATOS!H742</f>
        <v>0</v>
      </c>
      <c r="I741" s="41">
        <f>REGISTRO_B.DATOS!I742</f>
        <v>0</v>
      </c>
      <c r="J741" s="41">
        <f>REGISTRO_B.DATOS!J742</f>
        <v>0</v>
      </c>
      <c r="K741" s="43">
        <f>REGISTRO_B.DATOS!K742</f>
        <v>0</v>
      </c>
    </row>
    <row r="742" spans="1:11" x14ac:dyDescent="0.25">
      <c r="A742" s="40">
        <f>REGISTRO_B.DATOS!A743</f>
        <v>0</v>
      </c>
      <c r="B742" s="41">
        <f>REGISTRO_B.DATOS!B743</f>
        <v>0</v>
      </c>
      <c r="C742" s="41">
        <f>REGISTRO_B.DATOS!C743</f>
        <v>0</v>
      </c>
      <c r="D742" s="41">
        <f>REGISTRO_B.DATOS!D743</f>
        <v>0</v>
      </c>
      <c r="E742" s="42">
        <f>REGISTRO_B.DATOS!E743</f>
        <v>0</v>
      </c>
      <c r="F742" s="41">
        <f>REGISTRO_B.DATOS!F743</f>
        <v>0</v>
      </c>
      <c r="G742" s="41">
        <f>REGISTRO_B.DATOS!G743</f>
        <v>0</v>
      </c>
      <c r="H742" s="41">
        <f>REGISTRO_B.DATOS!H743</f>
        <v>0</v>
      </c>
      <c r="I742" s="41">
        <f>REGISTRO_B.DATOS!I743</f>
        <v>0</v>
      </c>
      <c r="J742" s="41">
        <f>REGISTRO_B.DATOS!J743</f>
        <v>0</v>
      </c>
      <c r="K742" s="43">
        <f>REGISTRO_B.DATOS!K743</f>
        <v>0</v>
      </c>
    </row>
    <row r="743" spans="1:11" x14ac:dyDescent="0.25">
      <c r="A743" s="40">
        <f>REGISTRO_B.DATOS!A744</f>
        <v>0</v>
      </c>
      <c r="B743" s="41">
        <f>REGISTRO_B.DATOS!B744</f>
        <v>0</v>
      </c>
      <c r="C743" s="41">
        <f>REGISTRO_B.DATOS!C744</f>
        <v>0</v>
      </c>
      <c r="D743" s="41">
        <f>REGISTRO_B.DATOS!D744</f>
        <v>0</v>
      </c>
      <c r="E743" s="42">
        <f>REGISTRO_B.DATOS!E744</f>
        <v>0</v>
      </c>
      <c r="F743" s="41">
        <f>REGISTRO_B.DATOS!F744</f>
        <v>0</v>
      </c>
      <c r="G743" s="41">
        <f>REGISTRO_B.DATOS!G744</f>
        <v>0</v>
      </c>
      <c r="H743" s="41">
        <f>REGISTRO_B.DATOS!H744</f>
        <v>0</v>
      </c>
      <c r="I743" s="41">
        <f>REGISTRO_B.DATOS!I744</f>
        <v>0</v>
      </c>
      <c r="J743" s="41">
        <f>REGISTRO_B.DATOS!J744</f>
        <v>0</v>
      </c>
      <c r="K743" s="43">
        <f>REGISTRO_B.DATOS!K744</f>
        <v>0</v>
      </c>
    </row>
    <row r="744" spans="1:11" x14ac:dyDescent="0.25">
      <c r="A744" s="40">
        <f>REGISTRO_B.DATOS!A745</f>
        <v>0</v>
      </c>
      <c r="B744" s="41">
        <f>REGISTRO_B.DATOS!B745</f>
        <v>0</v>
      </c>
      <c r="C744" s="41">
        <f>REGISTRO_B.DATOS!C745</f>
        <v>0</v>
      </c>
      <c r="D744" s="41">
        <f>REGISTRO_B.DATOS!D745</f>
        <v>0</v>
      </c>
      <c r="E744" s="42">
        <f>REGISTRO_B.DATOS!E745</f>
        <v>0</v>
      </c>
      <c r="F744" s="41">
        <f>REGISTRO_B.DATOS!F745</f>
        <v>0</v>
      </c>
      <c r="G744" s="41">
        <f>REGISTRO_B.DATOS!G745</f>
        <v>0</v>
      </c>
      <c r="H744" s="41">
        <f>REGISTRO_B.DATOS!H745</f>
        <v>0</v>
      </c>
      <c r="I744" s="41">
        <f>REGISTRO_B.DATOS!I745</f>
        <v>0</v>
      </c>
      <c r="J744" s="41">
        <f>REGISTRO_B.DATOS!J745</f>
        <v>0</v>
      </c>
      <c r="K744" s="43">
        <f>REGISTRO_B.DATOS!K745</f>
        <v>0</v>
      </c>
    </row>
    <row r="745" spans="1:11" x14ac:dyDescent="0.25">
      <c r="A745" s="40">
        <f>REGISTRO_B.DATOS!A746</f>
        <v>0</v>
      </c>
      <c r="B745" s="41">
        <f>REGISTRO_B.DATOS!B746</f>
        <v>0</v>
      </c>
      <c r="C745" s="41">
        <f>REGISTRO_B.DATOS!C746</f>
        <v>0</v>
      </c>
      <c r="D745" s="41">
        <f>REGISTRO_B.DATOS!D746</f>
        <v>0</v>
      </c>
      <c r="E745" s="42">
        <f>REGISTRO_B.DATOS!E746</f>
        <v>0</v>
      </c>
      <c r="F745" s="41">
        <f>REGISTRO_B.DATOS!F746</f>
        <v>0</v>
      </c>
      <c r="G745" s="41">
        <f>REGISTRO_B.DATOS!G746</f>
        <v>0</v>
      </c>
      <c r="H745" s="41">
        <f>REGISTRO_B.DATOS!H746</f>
        <v>0</v>
      </c>
      <c r="I745" s="41">
        <f>REGISTRO_B.DATOS!I746</f>
        <v>0</v>
      </c>
      <c r="J745" s="41">
        <f>REGISTRO_B.DATOS!J746</f>
        <v>0</v>
      </c>
      <c r="K745" s="43">
        <f>REGISTRO_B.DATOS!K746</f>
        <v>0</v>
      </c>
    </row>
    <row r="746" spans="1:11" x14ac:dyDescent="0.25">
      <c r="A746" s="40">
        <f>REGISTRO_B.DATOS!A747</f>
        <v>0</v>
      </c>
      <c r="B746" s="41">
        <f>REGISTRO_B.DATOS!B747</f>
        <v>0</v>
      </c>
      <c r="C746" s="41">
        <f>REGISTRO_B.DATOS!C747</f>
        <v>0</v>
      </c>
      <c r="D746" s="41">
        <f>REGISTRO_B.DATOS!D747</f>
        <v>0</v>
      </c>
      <c r="E746" s="42">
        <f>REGISTRO_B.DATOS!E747</f>
        <v>0</v>
      </c>
      <c r="F746" s="41">
        <f>REGISTRO_B.DATOS!F747</f>
        <v>0</v>
      </c>
      <c r="G746" s="41">
        <f>REGISTRO_B.DATOS!G747</f>
        <v>0</v>
      </c>
      <c r="H746" s="41">
        <f>REGISTRO_B.DATOS!H747</f>
        <v>0</v>
      </c>
      <c r="I746" s="41">
        <f>REGISTRO_B.DATOS!I747</f>
        <v>0</v>
      </c>
      <c r="J746" s="41">
        <f>REGISTRO_B.DATOS!J747</f>
        <v>0</v>
      </c>
      <c r="K746" s="43">
        <f>REGISTRO_B.DATOS!K747</f>
        <v>0</v>
      </c>
    </row>
    <row r="747" spans="1:11" x14ac:dyDescent="0.25">
      <c r="A747" s="40">
        <f>REGISTRO_B.DATOS!A748</f>
        <v>0</v>
      </c>
      <c r="B747" s="41">
        <f>REGISTRO_B.DATOS!B748</f>
        <v>0</v>
      </c>
      <c r="C747" s="41">
        <f>REGISTRO_B.DATOS!C748</f>
        <v>0</v>
      </c>
      <c r="D747" s="41">
        <f>REGISTRO_B.DATOS!D748</f>
        <v>0</v>
      </c>
      <c r="E747" s="42">
        <f>REGISTRO_B.DATOS!E748</f>
        <v>0</v>
      </c>
      <c r="F747" s="41">
        <f>REGISTRO_B.DATOS!F748</f>
        <v>0</v>
      </c>
      <c r="G747" s="41">
        <f>REGISTRO_B.DATOS!G748</f>
        <v>0</v>
      </c>
      <c r="H747" s="41">
        <f>REGISTRO_B.DATOS!H748</f>
        <v>0</v>
      </c>
      <c r="I747" s="41">
        <f>REGISTRO_B.DATOS!I748</f>
        <v>0</v>
      </c>
      <c r="J747" s="41">
        <f>REGISTRO_B.DATOS!J748</f>
        <v>0</v>
      </c>
      <c r="K747" s="43">
        <f>REGISTRO_B.DATOS!K748</f>
        <v>0</v>
      </c>
    </row>
    <row r="748" spans="1:11" x14ac:dyDescent="0.25">
      <c r="A748" s="40">
        <f>REGISTRO_B.DATOS!A749</f>
        <v>0</v>
      </c>
      <c r="B748" s="41">
        <f>REGISTRO_B.DATOS!B749</f>
        <v>0</v>
      </c>
      <c r="C748" s="41">
        <f>REGISTRO_B.DATOS!C749</f>
        <v>0</v>
      </c>
      <c r="D748" s="41">
        <f>REGISTRO_B.DATOS!D749</f>
        <v>0</v>
      </c>
      <c r="E748" s="42">
        <f>REGISTRO_B.DATOS!E749</f>
        <v>0</v>
      </c>
      <c r="F748" s="41">
        <f>REGISTRO_B.DATOS!F749</f>
        <v>0</v>
      </c>
      <c r="G748" s="41">
        <f>REGISTRO_B.DATOS!G749</f>
        <v>0</v>
      </c>
      <c r="H748" s="41">
        <f>REGISTRO_B.DATOS!H749</f>
        <v>0</v>
      </c>
      <c r="I748" s="41">
        <f>REGISTRO_B.DATOS!I749</f>
        <v>0</v>
      </c>
      <c r="J748" s="41">
        <f>REGISTRO_B.DATOS!J749</f>
        <v>0</v>
      </c>
      <c r="K748" s="43">
        <f>REGISTRO_B.DATOS!K749</f>
        <v>0</v>
      </c>
    </row>
    <row r="749" spans="1:11" x14ac:dyDescent="0.25">
      <c r="A749" s="40">
        <f>REGISTRO_B.DATOS!A750</f>
        <v>0</v>
      </c>
      <c r="B749" s="41">
        <f>REGISTRO_B.DATOS!B750</f>
        <v>0</v>
      </c>
      <c r="C749" s="41">
        <f>REGISTRO_B.DATOS!C750</f>
        <v>0</v>
      </c>
      <c r="D749" s="41">
        <f>REGISTRO_B.DATOS!D750</f>
        <v>0</v>
      </c>
      <c r="E749" s="42">
        <f>REGISTRO_B.DATOS!E750</f>
        <v>0</v>
      </c>
      <c r="F749" s="41">
        <f>REGISTRO_B.DATOS!F750</f>
        <v>0</v>
      </c>
      <c r="G749" s="41">
        <f>REGISTRO_B.DATOS!G750</f>
        <v>0</v>
      </c>
      <c r="H749" s="41">
        <f>REGISTRO_B.DATOS!H750</f>
        <v>0</v>
      </c>
      <c r="I749" s="41">
        <f>REGISTRO_B.DATOS!I750</f>
        <v>0</v>
      </c>
      <c r="J749" s="41">
        <f>REGISTRO_B.DATOS!J750</f>
        <v>0</v>
      </c>
      <c r="K749" s="43">
        <f>REGISTRO_B.DATOS!K750</f>
        <v>0</v>
      </c>
    </row>
    <row r="750" spans="1:11" x14ac:dyDescent="0.25">
      <c r="A750" s="40">
        <f>REGISTRO_B.DATOS!A751</f>
        <v>0</v>
      </c>
      <c r="B750" s="41">
        <f>REGISTRO_B.DATOS!B751</f>
        <v>0</v>
      </c>
      <c r="C750" s="41">
        <f>REGISTRO_B.DATOS!C751</f>
        <v>0</v>
      </c>
      <c r="D750" s="41">
        <f>REGISTRO_B.DATOS!D751</f>
        <v>0</v>
      </c>
      <c r="E750" s="42">
        <f>REGISTRO_B.DATOS!E751</f>
        <v>0</v>
      </c>
      <c r="F750" s="41">
        <f>REGISTRO_B.DATOS!F751</f>
        <v>0</v>
      </c>
      <c r="G750" s="41">
        <f>REGISTRO_B.DATOS!G751</f>
        <v>0</v>
      </c>
      <c r="H750" s="41">
        <f>REGISTRO_B.DATOS!H751</f>
        <v>0</v>
      </c>
      <c r="I750" s="41">
        <f>REGISTRO_B.DATOS!I751</f>
        <v>0</v>
      </c>
      <c r="J750" s="41">
        <f>REGISTRO_B.DATOS!J751</f>
        <v>0</v>
      </c>
      <c r="K750" s="43">
        <f>REGISTRO_B.DATOS!K751</f>
        <v>0</v>
      </c>
    </row>
    <row r="751" spans="1:11" x14ac:dyDescent="0.25">
      <c r="A751" s="40">
        <f>REGISTRO_B.DATOS!A752</f>
        <v>0</v>
      </c>
      <c r="B751" s="41">
        <f>REGISTRO_B.DATOS!B752</f>
        <v>0</v>
      </c>
      <c r="C751" s="41">
        <f>REGISTRO_B.DATOS!C752</f>
        <v>0</v>
      </c>
      <c r="D751" s="41">
        <f>REGISTRO_B.DATOS!D752</f>
        <v>0</v>
      </c>
      <c r="E751" s="42">
        <f>REGISTRO_B.DATOS!E752</f>
        <v>0</v>
      </c>
      <c r="F751" s="41">
        <f>REGISTRO_B.DATOS!F752</f>
        <v>0</v>
      </c>
      <c r="G751" s="41">
        <f>REGISTRO_B.DATOS!G752</f>
        <v>0</v>
      </c>
      <c r="H751" s="41">
        <f>REGISTRO_B.DATOS!H752</f>
        <v>0</v>
      </c>
      <c r="I751" s="41">
        <f>REGISTRO_B.DATOS!I752</f>
        <v>0</v>
      </c>
      <c r="J751" s="41">
        <f>REGISTRO_B.DATOS!J752</f>
        <v>0</v>
      </c>
      <c r="K751" s="43">
        <f>REGISTRO_B.DATOS!K752</f>
        <v>0</v>
      </c>
    </row>
    <row r="752" spans="1:11" x14ac:dyDescent="0.25">
      <c r="A752" s="40">
        <f>REGISTRO_B.DATOS!A753</f>
        <v>0</v>
      </c>
      <c r="B752" s="41">
        <f>REGISTRO_B.DATOS!B753</f>
        <v>0</v>
      </c>
      <c r="C752" s="41">
        <f>REGISTRO_B.DATOS!C753</f>
        <v>0</v>
      </c>
      <c r="D752" s="41">
        <f>REGISTRO_B.DATOS!D753</f>
        <v>0</v>
      </c>
      <c r="E752" s="42">
        <f>REGISTRO_B.DATOS!E753</f>
        <v>0</v>
      </c>
      <c r="F752" s="41">
        <f>REGISTRO_B.DATOS!F753</f>
        <v>0</v>
      </c>
      <c r="G752" s="41">
        <f>REGISTRO_B.DATOS!G753</f>
        <v>0</v>
      </c>
      <c r="H752" s="41">
        <f>REGISTRO_B.DATOS!H753</f>
        <v>0</v>
      </c>
      <c r="I752" s="41">
        <f>REGISTRO_B.DATOS!I753</f>
        <v>0</v>
      </c>
      <c r="J752" s="41">
        <f>REGISTRO_B.DATOS!J753</f>
        <v>0</v>
      </c>
      <c r="K752" s="43">
        <f>REGISTRO_B.DATOS!K753</f>
        <v>0</v>
      </c>
    </row>
    <row r="753" spans="1:11" x14ac:dyDescent="0.25">
      <c r="A753" s="40">
        <f>REGISTRO_B.DATOS!A754</f>
        <v>0</v>
      </c>
      <c r="B753" s="41">
        <f>REGISTRO_B.DATOS!B754</f>
        <v>0</v>
      </c>
      <c r="C753" s="41">
        <f>REGISTRO_B.DATOS!C754</f>
        <v>0</v>
      </c>
      <c r="D753" s="41">
        <f>REGISTRO_B.DATOS!D754</f>
        <v>0</v>
      </c>
      <c r="E753" s="42">
        <f>REGISTRO_B.DATOS!E754</f>
        <v>0</v>
      </c>
      <c r="F753" s="41">
        <f>REGISTRO_B.DATOS!F754</f>
        <v>0</v>
      </c>
      <c r="G753" s="41">
        <f>REGISTRO_B.DATOS!G754</f>
        <v>0</v>
      </c>
      <c r="H753" s="41">
        <f>REGISTRO_B.DATOS!H754</f>
        <v>0</v>
      </c>
      <c r="I753" s="41">
        <f>REGISTRO_B.DATOS!I754</f>
        <v>0</v>
      </c>
      <c r="J753" s="41">
        <f>REGISTRO_B.DATOS!J754</f>
        <v>0</v>
      </c>
      <c r="K753" s="43">
        <f>REGISTRO_B.DATOS!K754</f>
        <v>0</v>
      </c>
    </row>
    <row r="754" spans="1:11" x14ac:dyDescent="0.25">
      <c r="A754" s="40">
        <f>REGISTRO_B.DATOS!A755</f>
        <v>0</v>
      </c>
      <c r="B754" s="41">
        <f>REGISTRO_B.DATOS!B755</f>
        <v>0</v>
      </c>
      <c r="C754" s="41">
        <f>REGISTRO_B.DATOS!C755</f>
        <v>0</v>
      </c>
      <c r="D754" s="41">
        <f>REGISTRO_B.DATOS!D755</f>
        <v>0</v>
      </c>
      <c r="E754" s="42">
        <f>REGISTRO_B.DATOS!E755</f>
        <v>0</v>
      </c>
      <c r="F754" s="41">
        <f>REGISTRO_B.DATOS!F755</f>
        <v>0</v>
      </c>
      <c r="G754" s="41">
        <f>REGISTRO_B.DATOS!G755</f>
        <v>0</v>
      </c>
      <c r="H754" s="41">
        <f>REGISTRO_B.DATOS!H755</f>
        <v>0</v>
      </c>
      <c r="I754" s="41">
        <f>REGISTRO_B.DATOS!I755</f>
        <v>0</v>
      </c>
      <c r="J754" s="41">
        <f>REGISTRO_B.DATOS!J755</f>
        <v>0</v>
      </c>
      <c r="K754" s="43">
        <f>REGISTRO_B.DATOS!K755</f>
        <v>0</v>
      </c>
    </row>
    <row r="755" spans="1:11" x14ac:dyDescent="0.25">
      <c r="A755" s="40">
        <f>REGISTRO_B.DATOS!A756</f>
        <v>0</v>
      </c>
      <c r="B755" s="41">
        <f>REGISTRO_B.DATOS!B756</f>
        <v>0</v>
      </c>
      <c r="C755" s="41">
        <f>REGISTRO_B.DATOS!C756</f>
        <v>0</v>
      </c>
      <c r="D755" s="41">
        <f>REGISTRO_B.DATOS!D756</f>
        <v>0</v>
      </c>
      <c r="E755" s="42">
        <f>REGISTRO_B.DATOS!E756</f>
        <v>0</v>
      </c>
      <c r="F755" s="41">
        <f>REGISTRO_B.DATOS!F756</f>
        <v>0</v>
      </c>
      <c r="G755" s="41">
        <f>REGISTRO_B.DATOS!G756</f>
        <v>0</v>
      </c>
      <c r="H755" s="41">
        <f>REGISTRO_B.DATOS!H756</f>
        <v>0</v>
      </c>
      <c r="I755" s="41">
        <f>REGISTRO_B.DATOS!I756</f>
        <v>0</v>
      </c>
      <c r="J755" s="41">
        <f>REGISTRO_B.DATOS!J756</f>
        <v>0</v>
      </c>
      <c r="K755" s="43">
        <f>REGISTRO_B.DATOS!K756</f>
        <v>0</v>
      </c>
    </row>
    <row r="756" spans="1:11" x14ac:dyDescent="0.25">
      <c r="A756" s="40">
        <f>REGISTRO_B.DATOS!A757</f>
        <v>0</v>
      </c>
      <c r="B756" s="41">
        <f>REGISTRO_B.DATOS!B757</f>
        <v>0</v>
      </c>
      <c r="C756" s="41">
        <f>REGISTRO_B.DATOS!C757</f>
        <v>0</v>
      </c>
      <c r="D756" s="41">
        <f>REGISTRO_B.DATOS!D757</f>
        <v>0</v>
      </c>
      <c r="E756" s="42">
        <f>REGISTRO_B.DATOS!E757</f>
        <v>0</v>
      </c>
      <c r="F756" s="41">
        <f>REGISTRO_B.DATOS!F757</f>
        <v>0</v>
      </c>
      <c r="G756" s="41">
        <f>REGISTRO_B.DATOS!G757</f>
        <v>0</v>
      </c>
      <c r="H756" s="41">
        <f>REGISTRO_B.DATOS!H757</f>
        <v>0</v>
      </c>
      <c r="I756" s="41">
        <f>REGISTRO_B.DATOS!I757</f>
        <v>0</v>
      </c>
      <c r="J756" s="41">
        <f>REGISTRO_B.DATOS!J757</f>
        <v>0</v>
      </c>
      <c r="K756" s="43">
        <f>REGISTRO_B.DATOS!K757</f>
        <v>0</v>
      </c>
    </row>
    <row r="757" spans="1:11" x14ac:dyDescent="0.25">
      <c r="A757" s="40">
        <f>REGISTRO_B.DATOS!A758</f>
        <v>0</v>
      </c>
      <c r="B757" s="41">
        <f>REGISTRO_B.DATOS!B758</f>
        <v>0</v>
      </c>
      <c r="C757" s="41">
        <f>REGISTRO_B.DATOS!C758</f>
        <v>0</v>
      </c>
      <c r="D757" s="41">
        <f>REGISTRO_B.DATOS!D758</f>
        <v>0</v>
      </c>
      <c r="E757" s="42">
        <f>REGISTRO_B.DATOS!E758</f>
        <v>0</v>
      </c>
      <c r="F757" s="41">
        <f>REGISTRO_B.DATOS!F758</f>
        <v>0</v>
      </c>
      <c r="G757" s="41">
        <f>REGISTRO_B.DATOS!G758</f>
        <v>0</v>
      </c>
      <c r="H757" s="41">
        <f>REGISTRO_B.DATOS!H758</f>
        <v>0</v>
      </c>
      <c r="I757" s="41">
        <f>REGISTRO_B.DATOS!I758</f>
        <v>0</v>
      </c>
      <c r="J757" s="41">
        <f>REGISTRO_B.DATOS!J758</f>
        <v>0</v>
      </c>
      <c r="K757" s="43">
        <f>REGISTRO_B.DATOS!K758</f>
        <v>0</v>
      </c>
    </row>
    <row r="758" spans="1:11" x14ac:dyDescent="0.25">
      <c r="A758" s="40">
        <f>REGISTRO_B.DATOS!A759</f>
        <v>0</v>
      </c>
      <c r="B758" s="41">
        <f>REGISTRO_B.DATOS!B759</f>
        <v>0</v>
      </c>
      <c r="C758" s="41">
        <f>REGISTRO_B.DATOS!C759</f>
        <v>0</v>
      </c>
      <c r="D758" s="41">
        <f>REGISTRO_B.DATOS!D759</f>
        <v>0</v>
      </c>
      <c r="E758" s="42">
        <f>REGISTRO_B.DATOS!E759</f>
        <v>0</v>
      </c>
      <c r="F758" s="41">
        <f>REGISTRO_B.DATOS!F759</f>
        <v>0</v>
      </c>
      <c r="G758" s="41">
        <f>REGISTRO_B.DATOS!G759</f>
        <v>0</v>
      </c>
      <c r="H758" s="41">
        <f>REGISTRO_B.DATOS!H759</f>
        <v>0</v>
      </c>
      <c r="I758" s="41">
        <f>REGISTRO_B.DATOS!I759</f>
        <v>0</v>
      </c>
      <c r="J758" s="41">
        <f>REGISTRO_B.DATOS!J759</f>
        <v>0</v>
      </c>
      <c r="K758" s="43">
        <f>REGISTRO_B.DATOS!K759</f>
        <v>0</v>
      </c>
    </row>
    <row r="759" spans="1:11" x14ac:dyDescent="0.25">
      <c r="A759" s="40">
        <f>REGISTRO_B.DATOS!A760</f>
        <v>0</v>
      </c>
      <c r="B759" s="41">
        <f>REGISTRO_B.DATOS!B760</f>
        <v>0</v>
      </c>
      <c r="C759" s="41">
        <f>REGISTRO_B.DATOS!C760</f>
        <v>0</v>
      </c>
      <c r="D759" s="41">
        <f>REGISTRO_B.DATOS!D760</f>
        <v>0</v>
      </c>
      <c r="E759" s="42">
        <f>REGISTRO_B.DATOS!E760</f>
        <v>0</v>
      </c>
      <c r="F759" s="41">
        <f>REGISTRO_B.DATOS!F760</f>
        <v>0</v>
      </c>
      <c r="G759" s="41">
        <f>REGISTRO_B.DATOS!G760</f>
        <v>0</v>
      </c>
      <c r="H759" s="41">
        <f>REGISTRO_B.DATOS!H760</f>
        <v>0</v>
      </c>
      <c r="I759" s="41">
        <f>REGISTRO_B.DATOS!I760</f>
        <v>0</v>
      </c>
      <c r="J759" s="41">
        <f>REGISTRO_B.DATOS!J760</f>
        <v>0</v>
      </c>
      <c r="K759" s="43">
        <f>REGISTRO_B.DATOS!K760</f>
        <v>0</v>
      </c>
    </row>
    <row r="760" spans="1:11" x14ac:dyDescent="0.25">
      <c r="A760" s="40">
        <f>REGISTRO_B.DATOS!A761</f>
        <v>0</v>
      </c>
      <c r="B760" s="41">
        <f>REGISTRO_B.DATOS!B761</f>
        <v>0</v>
      </c>
      <c r="C760" s="41">
        <f>REGISTRO_B.DATOS!C761</f>
        <v>0</v>
      </c>
      <c r="D760" s="41">
        <f>REGISTRO_B.DATOS!D761</f>
        <v>0</v>
      </c>
      <c r="E760" s="42">
        <f>REGISTRO_B.DATOS!E761</f>
        <v>0</v>
      </c>
      <c r="F760" s="41">
        <f>REGISTRO_B.DATOS!F761</f>
        <v>0</v>
      </c>
      <c r="G760" s="41">
        <f>REGISTRO_B.DATOS!G761</f>
        <v>0</v>
      </c>
      <c r="H760" s="41">
        <f>REGISTRO_B.DATOS!H761</f>
        <v>0</v>
      </c>
      <c r="I760" s="41">
        <f>REGISTRO_B.DATOS!I761</f>
        <v>0</v>
      </c>
      <c r="J760" s="41">
        <f>REGISTRO_B.DATOS!J761</f>
        <v>0</v>
      </c>
      <c r="K760" s="43">
        <f>REGISTRO_B.DATOS!K761</f>
        <v>0</v>
      </c>
    </row>
    <row r="761" spans="1:11" x14ac:dyDescent="0.25">
      <c r="A761" s="40">
        <f>REGISTRO_B.DATOS!A762</f>
        <v>0</v>
      </c>
      <c r="B761" s="41">
        <f>REGISTRO_B.DATOS!B762</f>
        <v>0</v>
      </c>
      <c r="C761" s="41">
        <f>REGISTRO_B.DATOS!C762</f>
        <v>0</v>
      </c>
      <c r="D761" s="41">
        <f>REGISTRO_B.DATOS!D762</f>
        <v>0</v>
      </c>
      <c r="E761" s="42">
        <f>REGISTRO_B.DATOS!E762</f>
        <v>0</v>
      </c>
      <c r="F761" s="41">
        <f>REGISTRO_B.DATOS!F762</f>
        <v>0</v>
      </c>
      <c r="G761" s="41">
        <f>REGISTRO_B.DATOS!G762</f>
        <v>0</v>
      </c>
      <c r="H761" s="41">
        <f>REGISTRO_B.DATOS!H762</f>
        <v>0</v>
      </c>
      <c r="I761" s="41">
        <f>REGISTRO_B.DATOS!I762</f>
        <v>0</v>
      </c>
      <c r="J761" s="41">
        <f>REGISTRO_B.DATOS!J762</f>
        <v>0</v>
      </c>
      <c r="K761" s="43">
        <f>REGISTRO_B.DATOS!K762</f>
        <v>0</v>
      </c>
    </row>
    <row r="762" spans="1:11" x14ac:dyDescent="0.25">
      <c r="A762" s="40">
        <f>REGISTRO_B.DATOS!A763</f>
        <v>0</v>
      </c>
      <c r="B762" s="41">
        <f>REGISTRO_B.DATOS!B763</f>
        <v>0</v>
      </c>
      <c r="C762" s="41">
        <f>REGISTRO_B.DATOS!C763</f>
        <v>0</v>
      </c>
      <c r="D762" s="41">
        <f>REGISTRO_B.DATOS!D763</f>
        <v>0</v>
      </c>
      <c r="E762" s="42">
        <f>REGISTRO_B.DATOS!E763</f>
        <v>0</v>
      </c>
      <c r="F762" s="41">
        <f>REGISTRO_B.DATOS!F763</f>
        <v>0</v>
      </c>
      <c r="G762" s="41">
        <f>REGISTRO_B.DATOS!G763</f>
        <v>0</v>
      </c>
      <c r="H762" s="41">
        <f>REGISTRO_B.DATOS!H763</f>
        <v>0</v>
      </c>
      <c r="I762" s="41">
        <f>REGISTRO_B.DATOS!I763</f>
        <v>0</v>
      </c>
      <c r="J762" s="41">
        <f>REGISTRO_B.DATOS!J763</f>
        <v>0</v>
      </c>
      <c r="K762" s="43">
        <f>REGISTRO_B.DATOS!K763</f>
        <v>0</v>
      </c>
    </row>
    <row r="763" spans="1:11" x14ac:dyDescent="0.25">
      <c r="A763" s="40">
        <f>REGISTRO_B.DATOS!A764</f>
        <v>0</v>
      </c>
      <c r="B763" s="41">
        <f>REGISTRO_B.DATOS!B764</f>
        <v>0</v>
      </c>
      <c r="C763" s="41">
        <f>REGISTRO_B.DATOS!C764</f>
        <v>0</v>
      </c>
      <c r="D763" s="41">
        <f>REGISTRO_B.DATOS!D764</f>
        <v>0</v>
      </c>
      <c r="E763" s="42">
        <f>REGISTRO_B.DATOS!E764</f>
        <v>0</v>
      </c>
      <c r="F763" s="41">
        <f>REGISTRO_B.DATOS!F764</f>
        <v>0</v>
      </c>
      <c r="G763" s="41">
        <f>REGISTRO_B.DATOS!G764</f>
        <v>0</v>
      </c>
      <c r="H763" s="41">
        <f>REGISTRO_B.DATOS!H764</f>
        <v>0</v>
      </c>
      <c r="I763" s="41">
        <f>REGISTRO_B.DATOS!I764</f>
        <v>0</v>
      </c>
      <c r="J763" s="41">
        <f>REGISTRO_B.DATOS!J764</f>
        <v>0</v>
      </c>
      <c r="K763" s="43">
        <f>REGISTRO_B.DATOS!K764</f>
        <v>0</v>
      </c>
    </row>
    <row r="764" spans="1:11" x14ac:dyDescent="0.25">
      <c r="A764" s="40">
        <f>REGISTRO_B.DATOS!A765</f>
        <v>0</v>
      </c>
      <c r="B764" s="41">
        <f>REGISTRO_B.DATOS!B765</f>
        <v>0</v>
      </c>
      <c r="C764" s="41">
        <f>REGISTRO_B.DATOS!C765</f>
        <v>0</v>
      </c>
      <c r="D764" s="41">
        <f>REGISTRO_B.DATOS!D765</f>
        <v>0</v>
      </c>
      <c r="E764" s="42">
        <f>REGISTRO_B.DATOS!E765</f>
        <v>0</v>
      </c>
      <c r="F764" s="41">
        <f>REGISTRO_B.DATOS!F765</f>
        <v>0</v>
      </c>
      <c r="G764" s="41">
        <f>REGISTRO_B.DATOS!G765</f>
        <v>0</v>
      </c>
      <c r="H764" s="41">
        <f>REGISTRO_B.DATOS!H765</f>
        <v>0</v>
      </c>
      <c r="I764" s="41">
        <f>REGISTRO_B.DATOS!I765</f>
        <v>0</v>
      </c>
      <c r="J764" s="41">
        <f>REGISTRO_B.DATOS!J765</f>
        <v>0</v>
      </c>
      <c r="K764" s="43">
        <f>REGISTRO_B.DATOS!K765</f>
        <v>0</v>
      </c>
    </row>
    <row r="765" spans="1:11" x14ac:dyDescent="0.25">
      <c r="A765" s="40">
        <f>REGISTRO_B.DATOS!A766</f>
        <v>0</v>
      </c>
      <c r="B765" s="41">
        <f>REGISTRO_B.DATOS!B766</f>
        <v>0</v>
      </c>
      <c r="C765" s="41">
        <f>REGISTRO_B.DATOS!C766</f>
        <v>0</v>
      </c>
      <c r="D765" s="41">
        <f>REGISTRO_B.DATOS!D766</f>
        <v>0</v>
      </c>
      <c r="E765" s="42">
        <f>REGISTRO_B.DATOS!E766</f>
        <v>0</v>
      </c>
      <c r="F765" s="41">
        <f>REGISTRO_B.DATOS!F766</f>
        <v>0</v>
      </c>
      <c r="G765" s="41">
        <f>REGISTRO_B.DATOS!G766</f>
        <v>0</v>
      </c>
      <c r="H765" s="41">
        <f>REGISTRO_B.DATOS!H766</f>
        <v>0</v>
      </c>
      <c r="I765" s="41">
        <f>REGISTRO_B.DATOS!I766</f>
        <v>0</v>
      </c>
      <c r="J765" s="41">
        <f>REGISTRO_B.DATOS!J766</f>
        <v>0</v>
      </c>
      <c r="K765" s="43">
        <f>REGISTRO_B.DATOS!K766</f>
        <v>0</v>
      </c>
    </row>
    <row r="766" spans="1:11" x14ac:dyDescent="0.25">
      <c r="A766" s="40">
        <f>REGISTRO_B.DATOS!A767</f>
        <v>0</v>
      </c>
      <c r="B766" s="41">
        <f>REGISTRO_B.DATOS!B767</f>
        <v>0</v>
      </c>
      <c r="C766" s="41">
        <f>REGISTRO_B.DATOS!C767</f>
        <v>0</v>
      </c>
      <c r="D766" s="41">
        <f>REGISTRO_B.DATOS!D767</f>
        <v>0</v>
      </c>
      <c r="E766" s="42">
        <f>REGISTRO_B.DATOS!E767</f>
        <v>0</v>
      </c>
      <c r="F766" s="41">
        <f>REGISTRO_B.DATOS!F767</f>
        <v>0</v>
      </c>
      <c r="G766" s="41">
        <f>REGISTRO_B.DATOS!G767</f>
        <v>0</v>
      </c>
      <c r="H766" s="41">
        <f>REGISTRO_B.DATOS!H767</f>
        <v>0</v>
      </c>
      <c r="I766" s="41">
        <f>REGISTRO_B.DATOS!I767</f>
        <v>0</v>
      </c>
      <c r="J766" s="41">
        <f>REGISTRO_B.DATOS!J767</f>
        <v>0</v>
      </c>
      <c r="K766" s="43">
        <f>REGISTRO_B.DATOS!K767</f>
        <v>0</v>
      </c>
    </row>
    <row r="767" spans="1:11" x14ac:dyDescent="0.25">
      <c r="A767" s="40">
        <f>REGISTRO_B.DATOS!A768</f>
        <v>0</v>
      </c>
      <c r="B767" s="41">
        <f>REGISTRO_B.DATOS!B768</f>
        <v>0</v>
      </c>
      <c r="C767" s="41">
        <f>REGISTRO_B.DATOS!C768</f>
        <v>0</v>
      </c>
      <c r="D767" s="41">
        <f>REGISTRO_B.DATOS!D768</f>
        <v>0</v>
      </c>
      <c r="E767" s="42">
        <f>REGISTRO_B.DATOS!E768</f>
        <v>0</v>
      </c>
      <c r="F767" s="41">
        <f>REGISTRO_B.DATOS!F768</f>
        <v>0</v>
      </c>
      <c r="G767" s="41">
        <f>REGISTRO_B.DATOS!G768</f>
        <v>0</v>
      </c>
      <c r="H767" s="41">
        <f>REGISTRO_B.DATOS!H768</f>
        <v>0</v>
      </c>
      <c r="I767" s="41">
        <f>REGISTRO_B.DATOS!I768</f>
        <v>0</v>
      </c>
      <c r="J767" s="41">
        <f>REGISTRO_B.DATOS!J768</f>
        <v>0</v>
      </c>
      <c r="K767" s="43">
        <f>REGISTRO_B.DATOS!K768</f>
        <v>0</v>
      </c>
    </row>
    <row r="768" spans="1:11" x14ac:dyDescent="0.25">
      <c r="A768" s="40">
        <f>REGISTRO_B.DATOS!A769</f>
        <v>0</v>
      </c>
      <c r="B768" s="41">
        <f>REGISTRO_B.DATOS!B769</f>
        <v>0</v>
      </c>
      <c r="C768" s="41">
        <f>REGISTRO_B.DATOS!C769</f>
        <v>0</v>
      </c>
      <c r="D768" s="41">
        <f>REGISTRO_B.DATOS!D769</f>
        <v>0</v>
      </c>
      <c r="E768" s="42">
        <f>REGISTRO_B.DATOS!E769</f>
        <v>0</v>
      </c>
      <c r="F768" s="41">
        <f>REGISTRO_B.DATOS!F769</f>
        <v>0</v>
      </c>
      <c r="G768" s="41">
        <f>REGISTRO_B.DATOS!G769</f>
        <v>0</v>
      </c>
      <c r="H768" s="41">
        <f>REGISTRO_B.DATOS!H769</f>
        <v>0</v>
      </c>
      <c r="I768" s="41">
        <f>REGISTRO_B.DATOS!I769</f>
        <v>0</v>
      </c>
      <c r="J768" s="41">
        <f>REGISTRO_B.DATOS!J769</f>
        <v>0</v>
      </c>
      <c r="K768" s="43">
        <f>REGISTRO_B.DATOS!K769</f>
        <v>0</v>
      </c>
    </row>
    <row r="769" spans="1:11" x14ac:dyDescent="0.25">
      <c r="A769" s="40">
        <f>REGISTRO_B.DATOS!A770</f>
        <v>0</v>
      </c>
      <c r="B769" s="41">
        <f>REGISTRO_B.DATOS!B770</f>
        <v>0</v>
      </c>
      <c r="C769" s="41">
        <f>REGISTRO_B.DATOS!C770</f>
        <v>0</v>
      </c>
      <c r="D769" s="41">
        <f>REGISTRO_B.DATOS!D770</f>
        <v>0</v>
      </c>
      <c r="E769" s="42">
        <f>REGISTRO_B.DATOS!E770</f>
        <v>0</v>
      </c>
      <c r="F769" s="41">
        <f>REGISTRO_B.DATOS!F770</f>
        <v>0</v>
      </c>
      <c r="G769" s="41">
        <f>REGISTRO_B.DATOS!G770</f>
        <v>0</v>
      </c>
      <c r="H769" s="41">
        <f>REGISTRO_B.DATOS!H770</f>
        <v>0</v>
      </c>
      <c r="I769" s="41">
        <f>REGISTRO_B.DATOS!I770</f>
        <v>0</v>
      </c>
      <c r="J769" s="41">
        <f>REGISTRO_B.DATOS!J770</f>
        <v>0</v>
      </c>
      <c r="K769" s="43">
        <f>REGISTRO_B.DATOS!K770</f>
        <v>0</v>
      </c>
    </row>
    <row r="770" spans="1:11" x14ac:dyDescent="0.25">
      <c r="A770" s="40">
        <f>REGISTRO_B.DATOS!A771</f>
        <v>0</v>
      </c>
      <c r="B770" s="41">
        <f>REGISTRO_B.DATOS!B771</f>
        <v>0</v>
      </c>
      <c r="C770" s="41">
        <f>REGISTRO_B.DATOS!C771</f>
        <v>0</v>
      </c>
      <c r="D770" s="41">
        <f>REGISTRO_B.DATOS!D771</f>
        <v>0</v>
      </c>
      <c r="E770" s="42">
        <f>REGISTRO_B.DATOS!E771</f>
        <v>0</v>
      </c>
      <c r="F770" s="41">
        <f>REGISTRO_B.DATOS!F771</f>
        <v>0</v>
      </c>
      <c r="G770" s="41">
        <f>REGISTRO_B.DATOS!G771</f>
        <v>0</v>
      </c>
      <c r="H770" s="41">
        <f>REGISTRO_B.DATOS!H771</f>
        <v>0</v>
      </c>
      <c r="I770" s="41">
        <f>REGISTRO_B.DATOS!I771</f>
        <v>0</v>
      </c>
      <c r="J770" s="41">
        <f>REGISTRO_B.DATOS!J771</f>
        <v>0</v>
      </c>
      <c r="K770" s="43">
        <f>REGISTRO_B.DATOS!K771</f>
        <v>0</v>
      </c>
    </row>
    <row r="771" spans="1:11" x14ac:dyDescent="0.25">
      <c r="A771" s="40">
        <f>REGISTRO_B.DATOS!A772</f>
        <v>0</v>
      </c>
      <c r="B771" s="41">
        <f>REGISTRO_B.DATOS!B772</f>
        <v>0</v>
      </c>
      <c r="C771" s="41">
        <f>REGISTRO_B.DATOS!C772</f>
        <v>0</v>
      </c>
      <c r="D771" s="41">
        <f>REGISTRO_B.DATOS!D772</f>
        <v>0</v>
      </c>
      <c r="E771" s="42">
        <f>REGISTRO_B.DATOS!E772</f>
        <v>0</v>
      </c>
      <c r="F771" s="41">
        <f>REGISTRO_B.DATOS!F772</f>
        <v>0</v>
      </c>
      <c r="G771" s="41">
        <f>REGISTRO_B.DATOS!G772</f>
        <v>0</v>
      </c>
      <c r="H771" s="41">
        <f>REGISTRO_B.DATOS!H772</f>
        <v>0</v>
      </c>
      <c r="I771" s="41">
        <f>REGISTRO_B.DATOS!I772</f>
        <v>0</v>
      </c>
      <c r="J771" s="41">
        <f>REGISTRO_B.DATOS!J772</f>
        <v>0</v>
      </c>
      <c r="K771" s="43">
        <f>REGISTRO_B.DATOS!K772</f>
        <v>0</v>
      </c>
    </row>
    <row r="772" spans="1:11" x14ac:dyDescent="0.25">
      <c r="A772" s="40">
        <f>REGISTRO_B.DATOS!A773</f>
        <v>0</v>
      </c>
      <c r="B772" s="41">
        <f>REGISTRO_B.DATOS!B773</f>
        <v>0</v>
      </c>
      <c r="C772" s="41">
        <f>REGISTRO_B.DATOS!C773</f>
        <v>0</v>
      </c>
      <c r="D772" s="41">
        <f>REGISTRO_B.DATOS!D773</f>
        <v>0</v>
      </c>
      <c r="E772" s="42">
        <f>REGISTRO_B.DATOS!E773</f>
        <v>0</v>
      </c>
      <c r="F772" s="41">
        <f>REGISTRO_B.DATOS!F773</f>
        <v>0</v>
      </c>
      <c r="G772" s="41">
        <f>REGISTRO_B.DATOS!G773</f>
        <v>0</v>
      </c>
      <c r="H772" s="41">
        <f>REGISTRO_B.DATOS!H773</f>
        <v>0</v>
      </c>
      <c r="I772" s="41">
        <f>REGISTRO_B.DATOS!I773</f>
        <v>0</v>
      </c>
      <c r="J772" s="41">
        <f>REGISTRO_B.DATOS!J773</f>
        <v>0</v>
      </c>
      <c r="K772" s="43">
        <f>REGISTRO_B.DATOS!K773</f>
        <v>0</v>
      </c>
    </row>
    <row r="773" spans="1:11" x14ac:dyDescent="0.25">
      <c r="A773" s="40">
        <f>REGISTRO_B.DATOS!A774</f>
        <v>0</v>
      </c>
      <c r="B773" s="41">
        <f>REGISTRO_B.DATOS!B774</f>
        <v>0</v>
      </c>
      <c r="C773" s="41">
        <f>REGISTRO_B.DATOS!C774</f>
        <v>0</v>
      </c>
      <c r="D773" s="41">
        <f>REGISTRO_B.DATOS!D774</f>
        <v>0</v>
      </c>
      <c r="E773" s="42">
        <f>REGISTRO_B.DATOS!E774</f>
        <v>0</v>
      </c>
      <c r="F773" s="41">
        <f>REGISTRO_B.DATOS!F774</f>
        <v>0</v>
      </c>
      <c r="G773" s="41">
        <f>REGISTRO_B.DATOS!G774</f>
        <v>0</v>
      </c>
      <c r="H773" s="41">
        <f>REGISTRO_B.DATOS!H774</f>
        <v>0</v>
      </c>
      <c r="I773" s="41">
        <f>REGISTRO_B.DATOS!I774</f>
        <v>0</v>
      </c>
      <c r="J773" s="41">
        <f>REGISTRO_B.DATOS!J774</f>
        <v>0</v>
      </c>
      <c r="K773" s="43">
        <f>REGISTRO_B.DATOS!K774</f>
        <v>0</v>
      </c>
    </row>
    <row r="774" spans="1:11" x14ac:dyDescent="0.25">
      <c r="A774" s="40">
        <f>REGISTRO_B.DATOS!A775</f>
        <v>0</v>
      </c>
      <c r="B774" s="41">
        <f>REGISTRO_B.DATOS!B775</f>
        <v>0</v>
      </c>
      <c r="C774" s="41">
        <f>REGISTRO_B.DATOS!C775</f>
        <v>0</v>
      </c>
      <c r="D774" s="41">
        <f>REGISTRO_B.DATOS!D775</f>
        <v>0</v>
      </c>
      <c r="E774" s="42">
        <f>REGISTRO_B.DATOS!E775</f>
        <v>0</v>
      </c>
      <c r="F774" s="41">
        <f>REGISTRO_B.DATOS!F775</f>
        <v>0</v>
      </c>
      <c r="G774" s="41">
        <f>REGISTRO_B.DATOS!G775</f>
        <v>0</v>
      </c>
      <c r="H774" s="41">
        <f>REGISTRO_B.DATOS!H775</f>
        <v>0</v>
      </c>
      <c r="I774" s="41">
        <f>REGISTRO_B.DATOS!I775</f>
        <v>0</v>
      </c>
      <c r="J774" s="41">
        <f>REGISTRO_B.DATOS!J775</f>
        <v>0</v>
      </c>
      <c r="K774" s="43">
        <f>REGISTRO_B.DATOS!K775</f>
        <v>0</v>
      </c>
    </row>
    <row r="775" spans="1:11" x14ac:dyDescent="0.25">
      <c r="A775" s="40">
        <f>REGISTRO_B.DATOS!A776</f>
        <v>0</v>
      </c>
      <c r="B775" s="41">
        <f>REGISTRO_B.DATOS!B776</f>
        <v>0</v>
      </c>
      <c r="C775" s="41">
        <f>REGISTRO_B.DATOS!C776</f>
        <v>0</v>
      </c>
      <c r="D775" s="41">
        <f>REGISTRO_B.DATOS!D776</f>
        <v>0</v>
      </c>
      <c r="E775" s="42">
        <f>REGISTRO_B.DATOS!E776</f>
        <v>0</v>
      </c>
      <c r="F775" s="41">
        <f>REGISTRO_B.DATOS!F776</f>
        <v>0</v>
      </c>
      <c r="G775" s="41">
        <f>REGISTRO_B.DATOS!G776</f>
        <v>0</v>
      </c>
      <c r="H775" s="41">
        <f>REGISTRO_B.DATOS!H776</f>
        <v>0</v>
      </c>
      <c r="I775" s="41">
        <f>REGISTRO_B.DATOS!I776</f>
        <v>0</v>
      </c>
      <c r="J775" s="41">
        <f>REGISTRO_B.DATOS!J776</f>
        <v>0</v>
      </c>
      <c r="K775" s="43">
        <f>REGISTRO_B.DATOS!K776</f>
        <v>0</v>
      </c>
    </row>
    <row r="776" spans="1:11" x14ac:dyDescent="0.25">
      <c r="A776" s="40">
        <f>REGISTRO_B.DATOS!A777</f>
        <v>0</v>
      </c>
      <c r="B776" s="41">
        <f>REGISTRO_B.DATOS!B777</f>
        <v>0</v>
      </c>
      <c r="C776" s="41">
        <f>REGISTRO_B.DATOS!C777</f>
        <v>0</v>
      </c>
      <c r="D776" s="41">
        <f>REGISTRO_B.DATOS!D777</f>
        <v>0</v>
      </c>
      <c r="E776" s="42">
        <f>REGISTRO_B.DATOS!E777</f>
        <v>0</v>
      </c>
      <c r="F776" s="41">
        <f>REGISTRO_B.DATOS!F777</f>
        <v>0</v>
      </c>
      <c r="G776" s="41">
        <f>REGISTRO_B.DATOS!G777</f>
        <v>0</v>
      </c>
      <c r="H776" s="41">
        <f>REGISTRO_B.DATOS!H777</f>
        <v>0</v>
      </c>
      <c r="I776" s="41">
        <f>REGISTRO_B.DATOS!I777</f>
        <v>0</v>
      </c>
      <c r="J776" s="41">
        <f>REGISTRO_B.DATOS!J777</f>
        <v>0</v>
      </c>
      <c r="K776" s="43">
        <f>REGISTRO_B.DATOS!K777</f>
        <v>0</v>
      </c>
    </row>
    <row r="777" spans="1:11" x14ac:dyDescent="0.25">
      <c r="A777" s="40">
        <f>REGISTRO_B.DATOS!A778</f>
        <v>0</v>
      </c>
      <c r="B777" s="41">
        <f>REGISTRO_B.DATOS!B778</f>
        <v>0</v>
      </c>
      <c r="C777" s="41">
        <f>REGISTRO_B.DATOS!C778</f>
        <v>0</v>
      </c>
      <c r="D777" s="41">
        <f>REGISTRO_B.DATOS!D778</f>
        <v>0</v>
      </c>
      <c r="E777" s="42">
        <f>REGISTRO_B.DATOS!E778</f>
        <v>0</v>
      </c>
      <c r="F777" s="41">
        <f>REGISTRO_B.DATOS!F778</f>
        <v>0</v>
      </c>
      <c r="G777" s="41">
        <f>REGISTRO_B.DATOS!G778</f>
        <v>0</v>
      </c>
      <c r="H777" s="41">
        <f>REGISTRO_B.DATOS!H778</f>
        <v>0</v>
      </c>
      <c r="I777" s="41">
        <f>REGISTRO_B.DATOS!I778</f>
        <v>0</v>
      </c>
      <c r="J777" s="41">
        <f>REGISTRO_B.DATOS!J778</f>
        <v>0</v>
      </c>
      <c r="K777" s="43">
        <f>REGISTRO_B.DATOS!K778</f>
        <v>0</v>
      </c>
    </row>
    <row r="778" spans="1:11" x14ac:dyDescent="0.25">
      <c r="A778" s="40">
        <f>REGISTRO_B.DATOS!A779</f>
        <v>0</v>
      </c>
      <c r="B778" s="41">
        <f>REGISTRO_B.DATOS!B779</f>
        <v>0</v>
      </c>
      <c r="C778" s="41">
        <f>REGISTRO_B.DATOS!C779</f>
        <v>0</v>
      </c>
      <c r="D778" s="41">
        <f>REGISTRO_B.DATOS!D779</f>
        <v>0</v>
      </c>
      <c r="E778" s="42">
        <f>REGISTRO_B.DATOS!E779</f>
        <v>0</v>
      </c>
      <c r="F778" s="41">
        <f>REGISTRO_B.DATOS!F779</f>
        <v>0</v>
      </c>
      <c r="G778" s="41">
        <f>REGISTRO_B.DATOS!G779</f>
        <v>0</v>
      </c>
      <c r="H778" s="41">
        <f>REGISTRO_B.DATOS!H779</f>
        <v>0</v>
      </c>
      <c r="I778" s="41">
        <f>REGISTRO_B.DATOS!I779</f>
        <v>0</v>
      </c>
      <c r="J778" s="41">
        <f>REGISTRO_B.DATOS!J779</f>
        <v>0</v>
      </c>
      <c r="K778" s="43">
        <f>REGISTRO_B.DATOS!K779</f>
        <v>0</v>
      </c>
    </row>
    <row r="779" spans="1:11" x14ac:dyDescent="0.25">
      <c r="A779" s="40">
        <f>REGISTRO_B.DATOS!A780</f>
        <v>0</v>
      </c>
      <c r="B779" s="41">
        <f>REGISTRO_B.DATOS!B780</f>
        <v>0</v>
      </c>
      <c r="C779" s="41">
        <f>REGISTRO_B.DATOS!C780</f>
        <v>0</v>
      </c>
      <c r="D779" s="41">
        <f>REGISTRO_B.DATOS!D780</f>
        <v>0</v>
      </c>
      <c r="E779" s="42">
        <f>REGISTRO_B.DATOS!E780</f>
        <v>0</v>
      </c>
      <c r="F779" s="41">
        <f>REGISTRO_B.DATOS!F780</f>
        <v>0</v>
      </c>
      <c r="G779" s="41">
        <f>REGISTRO_B.DATOS!G780</f>
        <v>0</v>
      </c>
      <c r="H779" s="41">
        <f>REGISTRO_B.DATOS!H780</f>
        <v>0</v>
      </c>
      <c r="I779" s="41">
        <f>REGISTRO_B.DATOS!I780</f>
        <v>0</v>
      </c>
      <c r="J779" s="41">
        <f>REGISTRO_B.DATOS!J780</f>
        <v>0</v>
      </c>
      <c r="K779" s="43">
        <f>REGISTRO_B.DATOS!K780</f>
        <v>0</v>
      </c>
    </row>
    <row r="780" spans="1:11" x14ac:dyDescent="0.25">
      <c r="A780" s="40">
        <f>REGISTRO_B.DATOS!A781</f>
        <v>0</v>
      </c>
      <c r="B780" s="41">
        <f>REGISTRO_B.DATOS!B781</f>
        <v>0</v>
      </c>
      <c r="C780" s="41">
        <f>REGISTRO_B.DATOS!C781</f>
        <v>0</v>
      </c>
      <c r="D780" s="41">
        <f>REGISTRO_B.DATOS!D781</f>
        <v>0</v>
      </c>
      <c r="E780" s="42">
        <f>REGISTRO_B.DATOS!E781</f>
        <v>0</v>
      </c>
      <c r="F780" s="41">
        <f>REGISTRO_B.DATOS!F781</f>
        <v>0</v>
      </c>
      <c r="G780" s="41">
        <f>REGISTRO_B.DATOS!G781</f>
        <v>0</v>
      </c>
      <c r="H780" s="41">
        <f>REGISTRO_B.DATOS!H781</f>
        <v>0</v>
      </c>
      <c r="I780" s="41">
        <f>REGISTRO_B.DATOS!I781</f>
        <v>0</v>
      </c>
      <c r="J780" s="41">
        <f>REGISTRO_B.DATOS!J781</f>
        <v>0</v>
      </c>
      <c r="K780" s="43">
        <f>REGISTRO_B.DATOS!K781</f>
        <v>0</v>
      </c>
    </row>
    <row r="781" spans="1:11" x14ac:dyDescent="0.25">
      <c r="A781" s="40">
        <f>REGISTRO_B.DATOS!A782</f>
        <v>0</v>
      </c>
      <c r="B781" s="41">
        <f>REGISTRO_B.DATOS!B782</f>
        <v>0</v>
      </c>
      <c r="C781" s="41">
        <f>REGISTRO_B.DATOS!C782</f>
        <v>0</v>
      </c>
      <c r="D781" s="41">
        <f>REGISTRO_B.DATOS!D782</f>
        <v>0</v>
      </c>
      <c r="E781" s="42">
        <f>REGISTRO_B.DATOS!E782</f>
        <v>0</v>
      </c>
      <c r="F781" s="41">
        <f>REGISTRO_B.DATOS!F782</f>
        <v>0</v>
      </c>
      <c r="G781" s="41">
        <f>REGISTRO_B.DATOS!G782</f>
        <v>0</v>
      </c>
      <c r="H781" s="41">
        <f>REGISTRO_B.DATOS!H782</f>
        <v>0</v>
      </c>
      <c r="I781" s="41">
        <f>REGISTRO_B.DATOS!I782</f>
        <v>0</v>
      </c>
      <c r="J781" s="41">
        <f>REGISTRO_B.DATOS!J782</f>
        <v>0</v>
      </c>
      <c r="K781" s="43">
        <f>REGISTRO_B.DATOS!K782</f>
        <v>0</v>
      </c>
    </row>
    <row r="782" spans="1:11" x14ac:dyDescent="0.25">
      <c r="A782" s="40">
        <f>REGISTRO_B.DATOS!A783</f>
        <v>0</v>
      </c>
      <c r="B782" s="41">
        <f>REGISTRO_B.DATOS!B783</f>
        <v>0</v>
      </c>
      <c r="C782" s="41">
        <f>REGISTRO_B.DATOS!C783</f>
        <v>0</v>
      </c>
      <c r="D782" s="41">
        <f>REGISTRO_B.DATOS!D783</f>
        <v>0</v>
      </c>
      <c r="E782" s="42">
        <f>REGISTRO_B.DATOS!E783</f>
        <v>0</v>
      </c>
      <c r="F782" s="41">
        <f>REGISTRO_B.DATOS!F783</f>
        <v>0</v>
      </c>
      <c r="G782" s="41">
        <f>REGISTRO_B.DATOS!G783</f>
        <v>0</v>
      </c>
      <c r="H782" s="41">
        <f>REGISTRO_B.DATOS!H783</f>
        <v>0</v>
      </c>
      <c r="I782" s="41">
        <f>REGISTRO_B.DATOS!I783</f>
        <v>0</v>
      </c>
      <c r="J782" s="41">
        <f>REGISTRO_B.DATOS!J783</f>
        <v>0</v>
      </c>
      <c r="K782" s="43">
        <f>REGISTRO_B.DATOS!K783</f>
        <v>0</v>
      </c>
    </row>
    <row r="783" spans="1:11" x14ac:dyDescent="0.25">
      <c r="A783" s="40">
        <f>REGISTRO_B.DATOS!A784</f>
        <v>0</v>
      </c>
      <c r="B783" s="41">
        <f>REGISTRO_B.DATOS!B784</f>
        <v>0</v>
      </c>
      <c r="C783" s="41">
        <f>REGISTRO_B.DATOS!C784</f>
        <v>0</v>
      </c>
      <c r="D783" s="41">
        <f>REGISTRO_B.DATOS!D784</f>
        <v>0</v>
      </c>
      <c r="E783" s="42">
        <f>REGISTRO_B.DATOS!E784</f>
        <v>0</v>
      </c>
      <c r="F783" s="41">
        <f>REGISTRO_B.DATOS!F784</f>
        <v>0</v>
      </c>
      <c r="G783" s="41">
        <f>REGISTRO_B.DATOS!G784</f>
        <v>0</v>
      </c>
      <c r="H783" s="41">
        <f>REGISTRO_B.DATOS!H784</f>
        <v>0</v>
      </c>
      <c r="I783" s="41">
        <f>REGISTRO_B.DATOS!I784</f>
        <v>0</v>
      </c>
      <c r="J783" s="41">
        <f>REGISTRO_B.DATOS!J784</f>
        <v>0</v>
      </c>
      <c r="K783" s="43">
        <f>REGISTRO_B.DATOS!K784</f>
        <v>0</v>
      </c>
    </row>
    <row r="784" spans="1:11" x14ac:dyDescent="0.25">
      <c r="A784" s="40">
        <f>REGISTRO_B.DATOS!A785</f>
        <v>0</v>
      </c>
      <c r="B784" s="41">
        <f>REGISTRO_B.DATOS!B785</f>
        <v>0</v>
      </c>
      <c r="C784" s="41">
        <f>REGISTRO_B.DATOS!C785</f>
        <v>0</v>
      </c>
      <c r="D784" s="41">
        <f>REGISTRO_B.DATOS!D785</f>
        <v>0</v>
      </c>
      <c r="E784" s="42">
        <f>REGISTRO_B.DATOS!E785</f>
        <v>0</v>
      </c>
      <c r="F784" s="41">
        <f>REGISTRO_B.DATOS!F785</f>
        <v>0</v>
      </c>
      <c r="G784" s="41">
        <f>REGISTRO_B.DATOS!G785</f>
        <v>0</v>
      </c>
      <c r="H784" s="41">
        <f>REGISTRO_B.DATOS!H785</f>
        <v>0</v>
      </c>
      <c r="I784" s="41">
        <f>REGISTRO_B.DATOS!I785</f>
        <v>0</v>
      </c>
      <c r="J784" s="41">
        <f>REGISTRO_B.DATOS!J785</f>
        <v>0</v>
      </c>
      <c r="K784" s="43">
        <f>REGISTRO_B.DATOS!K785</f>
        <v>0</v>
      </c>
    </row>
    <row r="785" spans="1:11" x14ac:dyDescent="0.25">
      <c r="A785" s="40">
        <f>REGISTRO_B.DATOS!A786</f>
        <v>0</v>
      </c>
      <c r="B785" s="41">
        <f>REGISTRO_B.DATOS!B786</f>
        <v>0</v>
      </c>
      <c r="C785" s="41">
        <f>REGISTRO_B.DATOS!C786</f>
        <v>0</v>
      </c>
      <c r="D785" s="41">
        <f>REGISTRO_B.DATOS!D786</f>
        <v>0</v>
      </c>
      <c r="E785" s="42">
        <f>REGISTRO_B.DATOS!E786</f>
        <v>0</v>
      </c>
      <c r="F785" s="41">
        <f>REGISTRO_B.DATOS!F786</f>
        <v>0</v>
      </c>
      <c r="G785" s="41">
        <f>REGISTRO_B.DATOS!G786</f>
        <v>0</v>
      </c>
      <c r="H785" s="41">
        <f>REGISTRO_B.DATOS!H786</f>
        <v>0</v>
      </c>
      <c r="I785" s="41">
        <f>REGISTRO_B.DATOS!I786</f>
        <v>0</v>
      </c>
      <c r="J785" s="41">
        <f>REGISTRO_B.DATOS!J786</f>
        <v>0</v>
      </c>
      <c r="K785" s="43">
        <f>REGISTRO_B.DATOS!K786</f>
        <v>0</v>
      </c>
    </row>
    <row r="786" spans="1:11" x14ac:dyDescent="0.25">
      <c r="A786" s="40">
        <f>REGISTRO_B.DATOS!A787</f>
        <v>0</v>
      </c>
      <c r="B786" s="41">
        <f>REGISTRO_B.DATOS!B787</f>
        <v>0</v>
      </c>
      <c r="C786" s="41">
        <f>REGISTRO_B.DATOS!C787</f>
        <v>0</v>
      </c>
      <c r="D786" s="41">
        <f>REGISTRO_B.DATOS!D787</f>
        <v>0</v>
      </c>
      <c r="E786" s="42">
        <f>REGISTRO_B.DATOS!E787</f>
        <v>0</v>
      </c>
      <c r="F786" s="41">
        <f>REGISTRO_B.DATOS!F787</f>
        <v>0</v>
      </c>
      <c r="G786" s="41">
        <f>REGISTRO_B.DATOS!G787</f>
        <v>0</v>
      </c>
      <c r="H786" s="41">
        <f>REGISTRO_B.DATOS!H787</f>
        <v>0</v>
      </c>
      <c r="I786" s="41">
        <f>REGISTRO_B.DATOS!I787</f>
        <v>0</v>
      </c>
      <c r="J786" s="41">
        <f>REGISTRO_B.DATOS!J787</f>
        <v>0</v>
      </c>
      <c r="K786" s="43">
        <f>REGISTRO_B.DATOS!K787</f>
        <v>0</v>
      </c>
    </row>
    <row r="787" spans="1:11" x14ac:dyDescent="0.25">
      <c r="A787" s="40">
        <f>REGISTRO_B.DATOS!A788</f>
        <v>0</v>
      </c>
      <c r="B787" s="41">
        <f>REGISTRO_B.DATOS!B788</f>
        <v>0</v>
      </c>
      <c r="C787" s="41">
        <f>REGISTRO_B.DATOS!C788</f>
        <v>0</v>
      </c>
      <c r="D787" s="41">
        <f>REGISTRO_B.DATOS!D788</f>
        <v>0</v>
      </c>
      <c r="E787" s="42">
        <f>REGISTRO_B.DATOS!E788</f>
        <v>0</v>
      </c>
      <c r="F787" s="41">
        <f>REGISTRO_B.DATOS!F788</f>
        <v>0</v>
      </c>
      <c r="G787" s="41">
        <f>REGISTRO_B.DATOS!G788</f>
        <v>0</v>
      </c>
      <c r="H787" s="41">
        <f>REGISTRO_B.DATOS!H788</f>
        <v>0</v>
      </c>
      <c r="I787" s="41">
        <f>REGISTRO_B.DATOS!I788</f>
        <v>0</v>
      </c>
      <c r="J787" s="41">
        <f>REGISTRO_B.DATOS!J788</f>
        <v>0</v>
      </c>
      <c r="K787" s="43">
        <f>REGISTRO_B.DATOS!K788</f>
        <v>0</v>
      </c>
    </row>
    <row r="788" spans="1:11" x14ac:dyDescent="0.25">
      <c r="A788" s="40">
        <f>REGISTRO_B.DATOS!A789</f>
        <v>0</v>
      </c>
      <c r="B788" s="41">
        <f>REGISTRO_B.DATOS!B789</f>
        <v>0</v>
      </c>
      <c r="C788" s="41">
        <f>REGISTRO_B.DATOS!C789</f>
        <v>0</v>
      </c>
      <c r="D788" s="41">
        <f>REGISTRO_B.DATOS!D789</f>
        <v>0</v>
      </c>
      <c r="E788" s="42">
        <f>REGISTRO_B.DATOS!E789</f>
        <v>0</v>
      </c>
      <c r="F788" s="41">
        <f>REGISTRO_B.DATOS!F789</f>
        <v>0</v>
      </c>
      <c r="G788" s="41">
        <f>REGISTRO_B.DATOS!G789</f>
        <v>0</v>
      </c>
      <c r="H788" s="41">
        <f>REGISTRO_B.DATOS!H789</f>
        <v>0</v>
      </c>
      <c r="I788" s="41">
        <f>REGISTRO_B.DATOS!I789</f>
        <v>0</v>
      </c>
      <c r="J788" s="41">
        <f>REGISTRO_B.DATOS!J789</f>
        <v>0</v>
      </c>
      <c r="K788" s="43">
        <f>REGISTRO_B.DATOS!K789</f>
        <v>0</v>
      </c>
    </row>
    <row r="789" spans="1:11" x14ac:dyDescent="0.25">
      <c r="A789" s="40">
        <f>REGISTRO_B.DATOS!A790</f>
        <v>0</v>
      </c>
      <c r="B789" s="41">
        <f>REGISTRO_B.DATOS!B790</f>
        <v>0</v>
      </c>
      <c r="C789" s="41">
        <f>REGISTRO_B.DATOS!C790</f>
        <v>0</v>
      </c>
      <c r="D789" s="41">
        <f>REGISTRO_B.DATOS!D790</f>
        <v>0</v>
      </c>
      <c r="E789" s="42">
        <f>REGISTRO_B.DATOS!E790</f>
        <v>0</v>
      </c>
      <c r="F789" s="41">
        <f>REGISTRO_B.DATOS!F790</f>
        <v>0</v>
      </c>
      <c r="G789" s="41">
        <f>REGISTRO_B.DATOS!G790</f>
        <v>0</v>
      </c>
      <c r="H789" s="41">
        <f>REGISTRO_B.DATOS!H790</f>
        <v>0</v>
      </c>
      <c r="I789" s="41">
        <f>REGISTRO_B.DATOS!I790</f>
        <v>0</v>
      </c>
      <c r="J789" s="41">
        <f>REGISTRO_B.DATOS!J790</f>
        <v>0</v>
      </c>
      <c r="K789" s="43">
        <f>REGISTRO_B.DATOS!K790</f>
        <v>0</v>
      </c>
    </row>
    <row r="790" spans="1:11" x14ac:dyDescent="0.25">
      <c r="A790" s="40">
        <f>REGISTRO_B.DATOS!A791</f>
        <v>0</v>
      </c>
      <c r="B790" s="41">
        <f>REGISTRO_B.DATOS!B791</f>
        <v>0</v>
      </c>
      <c r="C790" s="41">
        <f>REGISTRO_B.DATOS!C791</f>
        <v>0</v>
      </c>
      <c r="D790" s="41">
        <f>REGISTRO_B.DATOS!D791</f>
        <v>0</v>
      </c>
      <c r="E790" s="42">
        <f>REGISTRO_B.DATOS!E791</f>
        <v>0</v>
      </c>
      <c r="F790" s="41">
        <f>REGISTRO_B.DATOS!F791</f>
        <v>0</v>
      </c>
      <c r="G790" s="41">
        <f>REGISTRO_B.DATOS!G791</f>
        <v>0</v>
      </c>
      <c r="H790" s="41">
        <f>REGISTRO_B.DATOS!H791</f>
        <v>0</v>
      </c>
      <c r="I790" s="41">
        <f>REGISTRO_B.DATOS!I791</f>
        <v>0</v>
      </c>
      <c r="J790" s="41">
        <f>REGISTRO_B.DATOS!J791</f>
        <v>0</v>
      </c>
      <c r="K790" s="43">
        <f>REGISTRO_B.DATOS!K791</f>
        <v>0</v>
      </c>
    </row>
    <row r="791" spans="1:11" x14ac:dyDescent="0.25">
      <c r="A791" s="40">
        <f>REGISTRO_B.DATOS!A792</f>
        <v>0</v>
      </c>
      <c r="B791" s="41">
        <f>REGISTRO_B.DATOS!B792</f>
        <v>0</v>
      </c>
      <c r="C791" s="41">
        <f>REGISTRO_B.DATOS!C792</f>
        <v>0</v>
      </c>
      <c r="D791" s="41">
        <f>REGISTRO_B.DATOS!D792</f>
        <v>0</v>
      </c>
      <c r="E791" s="42">
        <f>REGISTRO_B.DATOS!E792</f>
        <v>0</v>
      </c>
      <c r="F791" s="41">
        <f>REGISTRO_B.DATOS!F792</f>
        <v>0</v>
      </c>
      <c r="G791" s="41">
        <f>REGISTRO_B.DATOS!G792</f>
        <v>0</v>
      </c>
      <c r="H791" s="41">
        <f>REGISTRO_B.DATOS!H792</f>
        <v>0</v>
      </c>
      <c r="I791" s="41">
        <f>REGISTRO_B.DATOS!I792</f>
        <v>0</v>
      </c>
      <c r="J791" s="41">
        <f>REGISTRO_B.DATOS!J792</f>
        <v>0</v>
      </c>
      <c r="K791" s="43">
        <f>REGISTRO_B.DATOS!K792</f>
        <v>0</v>
      </c>
    </row>
    <row r="792" spans="1:11" x14ac:dyDescent="0.25">
      <c r="A792" s="40">
        <f>REGISTRO_B.DATOS!A793</f>
        <v>0</v>
      </c>
      <c r="B792" s="41">
        <f>REGISTRO_B.DATOS!B793</f>
        <v>0</v>
      </c>
      <c r="C792" s="41">
        <f>REGISTRO_B.DATOS!C793</f>
        <v>0</v>
      </c>
      <c r="D792" s="41">
        <f>REGISTRO_B.DATOS!D793</f>
        <v>0</v>
      </c>
      <c r="E792" s="42">
        <f>REGISTRO_B.DATOS!E793</f>
        <v>0</v>
      </c>
      <c r="F792" s="41">
        <f>REGISTRO_B.DATOS!F793</f>
        <v>0</v>
      </c>
      <c r="G792" s="41">
        <f>REGISTRO_B.DATOS!G793</f>
        <v>0</v>
      </c>
      <c r="H792" s="41">
        <f>REGISTRO_B.DATOS!H793</f>
        <v>0</v>
      </c>
      <c r="I792" s="41">
        <f>REGISTRO_B.DATOS!I793</f>
        <v>0</v>
      </c>
      <c r="J792" s="41">
        <f>REGISTRO_B.DATOS!J793</f>
        <v>0</v>
      </c>
      <c r="K792" s="43">
        <f>REGISTRO_B.DATOS!K793</f>
        <v>0</v>
      </c>
    </row>
    <row r="793" spans="1:11" x14ac:dyDescent="0.25">
      <c r="A793" s="40">
        <f>REGISTRO_B.DATOS!A794</f>
        <v>0</v>
      </c>
      <c r="B793" s="41">
        <f>REGISTRO_B.DATOS!B794</f>
        <v>0</v>
      </c>
      <c r="C793" s="41">
        <f>REGISTRO_B.DATOS!C794</f>
        <v>0</v>
      </c>
      <c r="D793" s="41">
        <f>REGISTRO_B.DATOS!D794</f>
        <v>0</v>
      </c>
      <c r="E793" s="42">
        <f>REGISTRO_B.DATOS!E794</f>
        <v>0</v>
      </c>
      <c r="F793" s="41">
        <f>REGISTRO_B.DATOS!F794</f>
        <v>0</v>
      </c>
      <c r="G793" s="41">
        <f>REGISTRO_B.DATOS!G794</f>
        <v>0</v>
      </c>
      <c r="H793" s="41">
        <f>REGISTRO_B.DATOS!H794</f>
        <v>0</v>
      </c>
      <c r="I793" s="41">
        <f>REGISTRO_B.DATOS!I794</f>
        <v>0</v>
      </c>
      <c r="J793" s="41">
        <f>REGISTRO_B.DATOS!J794</f>
        <v>0</v>
      </c>
      <c r="K793" s="43">
        <f>REGISTRO_B.DATOS!K794</f>
        <v>0</v>
      </c>
    </row>
    <row r="794" spans="1:11" x14ac:dyDescent="0.25">
      <c r="A794" s="40">
        <f>REGISTRO_B.DATOS!A795</f>
        <v>0</v>
      </c>
      <c r="B794" s="41">
        <f>REGISTRO_B.DATOS!B795</f>
        <v>0</v>
      </c>
      <c r="C794" s="41">
        <f>REGISTRO_B.DATOS!C795</f>
        <v>0</v>
      </c>
      <c r="D794" s="41">
        <f>REGISTRO_B.DATOS!D795</f>
        <v>0</v>
      </c>
      <c r="E794" s="42">
        <f>REGISTRO_B.DATOS!E795</f>
        <v>0</v>
      </c>
      <c r="F794" s="41">
        <f>REGISTRO_B.DATOS!F795</f>
        <v>0</v>
      </c>
      <c r="G794" s="41">
        <f>REGISTRO_B.DATOS!G795</f>
        <v>0</v>
      </c>
      <c r="H794" s="41">
        <f>REGISTRO_B.DATOS!H795</f>
        <v>0</v>
      </c>
      <c r="I794" s="41">
        <f>REGISTRO_B.DATOS!I795</f>
        <v>0</v>
      </c>
      <c r="J794" s="41">
        <f>REGISTRO_B.DATOS!J795</f>
        <v>0</v>
      </c>
      <c r="K794" s="43">
        <f>REGISTRO_B.DATOS!K795</f>
        <v>0</v>
      </c>
    </row>
    <row r="795" spans="1:11" x14ac:dyDescent="0.25">
      <c r="A795" s="40">
        <f>REGISTRO_B.DATOS!A796</f>
        <v>0</v>
      </c>
      <c r="B795" s="41">
        <f>REGISTRO_B.DATOS!B796</f>
        <v>0</v>
      </c>
      <c r="C795" s="41">
        <f>REGISTRO_B.DATOS!C796</f>
        <v>0</v>
      </c>
      <c r="D795" s="41">
        <f>REGISTRO_B.DATOS!D796</f>
        <v>0</v>
      </c>
      <c r="E795" s="42">
        <f>REGISTRO_B.DATOS!E796</f>
        <v>0</v>
      </c>
      <c r="F795" s="41">
        <f>REGISTRO_B.DATOS!F796</f>
        <v>0</v>
      </c>
      <c r="G795" s="41">
        <f>REGISTRO_B.DATOS!G796</f>
        <v>0</v>
      </c>
      <c r="H795" s="41">
        <f>REGISTRO_B.DATOS!H796</f>
        <v>0</v>
      </c>
      <c r="I795" s="41">
        <f>REGISTRO_B.DATOS!I796</f>
        <v>0</v>
      </c>
      <c r="J795" s="41">
        <f>REGISTRO_B.DATOS!J796</f>
        <v>0</v>
      </c>
      <c r="K795" s="43">
        <f>REGISTRO_B.DATOS!K796</f>
        <v>0</v>
      </c>
    </row>
    <row r="796" spans="1:11" x14ac:dyDescent="0.25">
      <c r="A796" s="40">
        <f>REGISTRO_B.DATOS!A797</f>
        <v>0</v>
      </c>
      <c r="B796" s="41">
        <f>REGISTRO_B.DATOS!B797</f>
        <v>0</v>
      </c>
      <c r="C796" s="41">
        <f>REGISTRO_B.DATOS!C797</f>
        <v>0</v>
      </c>
      <c r="D796" s="41">
        <f>REGISTRO_B.DATOS!D797</f>
        <v>0</v>
      </c>
      <c r="E796" s="42">
        <f>REGISTRO_B.DATOS!E797</f>
        <v>0</v>
      </c>
      <c r="F796" s="41">
        <f>REGISTRO_B.DATOS!F797</f>
        <v>0</v>
      </c>
      <c r="G796" s="41">
        <f>REGISTRO_B.DATOS!G797</f>
        <v>0</v>
      </c>
      <c r="H796" s="41">
        <f>REGISTRO_B.DATOS!H797</f>
        <v>0</v>
      </c>
      <c r="I796" s="41">
        <f>REGISTRO_B.DATOS!I797</f>
        <v>0</v>
      </c>
      <c r="J796" s="41">
        <f>REGISTRO_B.DATOS!J797</f>
        <v>0</v>
      </c>
      <c r="K796" s="43">
        <f>REGISTRO_B.DATOS!K797</f>
        <v>0</v>
      </c>
    </row>
    <row r="797" spans="1:11" x14ac:dyDescent="0.25">
      <c r="A797" s="40">
        <f>REGISTRO_B.DATOS!A798</f>
        <v>0</v>
      </c>
      <c r="B797" s="41">
        <f>REGISTRO_B.DATOS!B798</f>
        <v>0</v>
      </c>
      <c r="C797" s="41">
        <f>REGISTRO_B.DATOS!C798</f>
        <v>0</v>
      </c>
      <c r="D797" s="41">
        <f>REGISTRO_B.DATOS!D798</f>
        <v>0</v>
      </c>
      <c r="E797" s="42">
        <f>REGISTRO_B.DATOS!E798</f>
        <v>0</v>
      </c>
      <c r="F797" s="41">
        <f>REGISTRO_B.DATOS!F798</f>
        <v>0</v>
      </c>
      <c r="G797" s="41">
        <f>REGISTRO_B.DATOS!G798</f>
        <v>0</v>
      </c>
      <c r="H797" s="41">
        <f>REGISTRO_B.DATOS!H798</f>
        <v>0</v>
      </c>
      <c r="I797" s="41">
        <f>REGISTRO_B.DATOS!I798</f>
        <v>0</v>
      </c>
      <c r="J797" s="41">
        <f>REGISTRO_B.DATOS!J798</f>
        <v>0</v>
      </c>
      <c r="K797" s="43">
        <f>REGISTRO_B.DATOS!K798</f>
        <v>0</v>
      </c>
    </row>
    <row r="798" spans="1:11" x14ac:dyDescent="0.25">
      <c r="A798" s="40">
        <f>REGISTRO_B.DATOS!A799</f>
        <v>0</v>
      </c>
      <c r="B798" s="41">
        <f>REGISTRO_B.DATOS!B799</f>
        <v>0</v>
      </c>
      <c r="C798" s="41">
        <f>REGISTRO_B.DATOS!C799</f>
        <v>0</v>
      </c>
      <c r="D798" s="41">
        <f>REGISTRO_B.DATOS!D799</f>
        <v>0</v>
      </c>
      <c r="E798" s="42">
        <f>REGISTRO_B.DATOS!E799</f>
        <v>0</v>
      </c>
      <c r="F798" s="41">
        <f>REGISTRO_B.DATOS!F799</f>
        <v>0</v>
      </c>
      <c r="G798" s="41">
        <f>REGISTRO_B.DATOS!G799</f>
        <v>0</v>
      </c>
      <c r="H798" s="41">
        <f>REGISTRO_B.DATOS!H799</f>
        <v>0</v>
      </c>
      <c r="I798" s="41">
        <f>REGISTRO_B.DATOS!I799</f>
        <v>0</v>
      </c>
      <c r="J798" s="41">
        <f>REGISTRO_B.DATOS!J799</f>
        <v>0</v>
      </c>
      <c r="K798" s="43">
        <f>REGISTRO_B.DATOS!K799</f>
        <v>0</v>
      </c>
    </row>
    <row r="799" spans="1:11" x14ac:dyDescent="0.25">
      <c r="A799" s="40">
        <f>REGISTRO_B.DATOS!A800</f>
        <v>0</v>
      </c>
      <c r="B799" s="41">
        <f>REGISTRO_B.DATOS!B800</f>
        <v>0</v>
      </c>
      <c r="C799" s="41">
        <f>REGISTRO_B.DATOS!C800</f>
        <v>0</v>
      </c>
      <c r="D799" s="41">
        <f>REGISTRO_B.DATOS!D800</f>
        <v>0</v>
      </c>
      <c r="E799" s="42">
        <f>REGISTRO_B.DATOS!E800</f>
        <v>0</v>
      </c>
      <c r="F799" s="41">
        <f>REGISTRO_B.DATOS!F800</f>
        <v>0</v>
      </c>
      <c r="G799" s="41">
        <f>REGISTRO_B.DATOS!G800</f>
        <v>0</v>
      </c>
      <c r="H799" s="41">
        <f>REGISTRO_B.DATOS!H800</f>
        <v>0</v>
      </c>
      <c r="I799" s="41">
        <f>REGISTRO_B.DATOS!I800</f>
        <v>0</v>
      </c>
      <c r="J799" s="41">
        <f>REGISTRO_B.DATOS!J800</f>
        <v>0</v>
      </c>
      <c r="K799" s="43">
        <f>REGISTRO_B.DATOS!K800</f>
        <v>0</v>
      </c>
    </row>
    <row r="800" spans="1:11" x14ac:dyDescent="0.25">
      <c r="A800" s="40">
        <f>REGISTRO_B.DATOS!A801</f>
        <v>0</v>
      </c>
      <c r="B800" s="41">
        <f>REGISTRO_B.DATOS!B801</f>
        <v>0</v>
      </c>
      <c r="C800" s="41">
        <f>REGISTRO_B.DATOS!C801</f>
        <v>0</v>
      </c>
      <c r="D800" s="41">
        <f>REGISTRO_B.DATOS!D801</f>
        <v>0</v>
      </c>
      <c r="E800" s="42">
        <f>REGISTRO_B.DATOS!E801</f>
        <v>0</v>
      </c>
      <c r="F800" s="41">
        <f>REGISTRO_B.DATOS!F801</f>
        <v>0</v>
      </c>
      <c r="G800" s="41">
        <f>REGISTRO_B.DATOS!G801</f>
        <v>0</v>
      </c>
      <c r="H800" s="41">
        <f>REGISTRO_B.DATOS!H801</f>
        <v>0</v>
      </c>
      <c r="I800" s="41">
        <f>REGISTRO_B.DATOS!I801</f>
        <v>0</v>
      </c>
      <c r="J800" s="41">
        <f>REGISTRO_B.DATOS!J801</f>
        <v>0</v>
      </c>
      <c r="K800" s="43">
        <f>REGISTRO_B.DATOS!K801</f>
        <v>0</v>
      </c>
    </row>
    <row r="801" spans="1:11" x14ac:dyDescent="0.25">
      <c r="A801" s="40">
        <f>REGISTRO_B.DATOS!A802</f>
        <v>0</v>
      </c>
      <c r="B801" s="41">
        <f>REGISTRO_B.DATOS!B802</f>
        <v>0</v>
      </c>
      <c r="C801" s="41">
        <f>REGISTRO_B.DATOS!C802</f>
        <v>0</v>
      </c>
      <c r="D801" s="41">
        <f>REGISTRO_B.DATOS!D802</f>
        <v>0</v>
      </c>
      <c r="E801" s="42">
        <f>REGISTRO_B.DATOS!E802</f>
        <v>0</v>
      </c>
      <c r="F801" s="41">
        <f>REGISTRO_B.DATOS!F802</f>
        <v>0</v>
      </c>
      <c r="G801" s="41">
        <f>REGISTRO_B.DATOS!G802</f>
        <v>0</v>
      </c>
      <c r="H801" s="41">
        <f>REGISTRO_B.DATOS!H802</f>
        <v>0</v>
      </c>
      <c r="I801" s="41">
        <f>REGISTRO_B.DATOS!I802</f>
        <v>0</v>
      </c>
      <c r="J801" s="41">
        <f>REGISTRO_B.DATOS!J802</f>
        <v>0</v>
      </c>
      <c r="K801" s="43">
        <f>REGISTRO_B.DATOS!K802</f>
        <v>0</v>
      </c>
    </row>
    <row r="802" spans="1:11" x14ac:dyDescent="0.25">
      <c r="A802" s="40">
        <f>REGISTRO_B.DATOS!A803</f>
        <v>0</v>
      </c>
      <c r="B802" s="41">
        <f>REGISTRO_B.DATOS!B803</f>
        <v>0</v>
      </c>
      <c r="C802" s="41">
        <f>REGISTRO_B.DATOS!C803</f>
        <v>0</v>
      </c>
      <c r="D802" s="41">
        <f>REGISTRO_B.DATOS!D803</f>
        <v>0</v>
      </c>
      <c r="E802" s="42">
        <f>REGISTRO_B.DATOS!E803</f>
        <v>0</v>
      </c>
      <c r="F802" s="41">
        <f>REGISTRO_B.DATOS!F803</f>
        <v>0</v>
      </c>
      <c r="G802" s="41">
        <f>REGISTRO_B.DATOS!G803</f>
        <v>0</v>
      </c>
      <c r="H802" s="41">
        <f>REGISTRO_B.DATOS!H803</f>
        <v>0</v>
      </c>
      <c r="I802" s="41">
        <f>REGISTRO_B.DATOS!I803</f>
        <v>0</v>
      </c>
      <c r="J802" s="41">
        <f>REGISTRO_B.DATOS!J803</f>
        <v>0</v>
      </c>
      <c r="K802" s="43">
        <f>REGISTRO_B.DATOS!K803</f>
        <v>0</v>
      </c>
    </row>
    <row r="803" spans="1:11" x14ac:dyDescent="0.25">
      <c r="A803" s="40">
        <f>REGISTRO_B.DATOS!A804</f>
        <v>0</v>
      </c>
      <c r="B803" s="41">
        <f>REGISTRO_B.DATOS!B804</f>
        <v>0</v>
      </c>
      <c r="C803" s="41">
        <f>REGISTRO_B.DATOS!C804</f>
        <v>0</v>
      </c>
      <c r="D803" s="41">
        <f>REGISTRO_B.DATOS!D804</f>
        <v>0</v>
      </c>
      <c r="E803" s="42">
        <f>REGISTRO_B.DATOS!E804</f>
        <v>0</v>
      </c>
      <c r="F803" s="41">
        <f>REGISTRO_B.DATOS!F804</f>
        <v>0</v>
      </c>
      <c r="G803" s="41">
        <f>REGISTRO_B.DATOS!G804</f>
        <v>0</v>
      </c>
      <c r="H803" s="41">
        <f>REGISTRO_B.DATOS!H804</f>
        <v>0</v>
      </c>
      <c r="I803" s="41">
        <f>REGISTRO_B.DATOS!I804</f>
        <v>0</v>
      </c>
      <c r="J803" s="41">
        <f>REGISTRO_B.DATOS!J804</f>
        <v>0</v>
      </c>
      <c r="K803" s="43">
        <f>REGISTRO_B.DATOS!K804</f>
        <v>0</v>
      </c>
    </row>
    <row r="804" spans="1:11" x14ac:dyDescent="0.25">
      <c r="A804" s="40">
        <f>REGISTRO_B.DATOS!A805</f>
        <v>0</v>
      </c>
      <c r="B804" s="41">
        <f>REGISTRO_B.DATOS!B805</f>
        <v>0</v>
      </c>
      <c r="C804" s="41">
        <f>REGISTRO_B.DATOS!C805</f>
        <v>0</v>
      </c>
      <c r="D804" s="41">
        <f>REGISTRO_B.DATOS!D805</f>
        <v>0</v>
      </c>
      <c r="E804" s="42">
        <f>REGISTRO_B.DATOS!E805</f>
        <v>0</v>
      </c>
      <c r="F804" s="41">
        <f>REGISTRO_B.DATOS!F805</f>
        <v>0</v>
      </c>
      <c r="G804" s="41">
        <f>REGISTRO_B.DATOS!G805</f>
        <v>0</v>
      </c>
      <c r="H804" s="41">
        <f>REGISTRO_B.DATOS!H805</f>
        <v>0</v>
      </c>
      <c r="I804" s="41">
        <f>REGISTRO_B.DATOS!I805</f>
        <v>0</v>
      </c>
      <c r="J804" s="41">
        <f>REGISTRO_B.DATOS!J805</f>
        <v>0</v>
      </c>
      <c r="K804" s="43">
        <f>REGISTRO_B.DATOS!K805</f>
        <v>0</v>
      </c>
    </row>
    <row r="805" spans="1:11" x14ac:dyDescent="0.25">
      <c r="A805" s="40">
        <f>REGISTRO_B.DATOS!A806</f>
        <v>0</v>
      </c>
      <c r="B805" s="41">
        <f>REGISTRO_B.DATOS!B806</f>
        <v>0</v>
      </c>
      <c r="C805" s="41">
        <f>REGISTRO_B.DATOS!C806</f>
        <v>0</v>
      </c>
      <c r="D805" s="41">
        <f>REGISTRO_B.DATOS!D806</f>
        <v>0</v>
      </c>
      <c r="E805" s="42">
        <f>REGISTRO_B.DATOS!E806</f>
        <v>0</v>
      </c>
      <c r="F805" s="41">
        <f>REGISTRO_B.DATOS!F806</f>
        <v>0</v>
      </c>
      <c r="G805" s="41">
        <f>REGISTRO_B.DATOS!G806</f>
        <v>0</v>
      </c>
      <c r="H805" s="41">
        <f>REGISTRO_B.DATOS!H806</f>
        <v>0</v>
      </c>
      <c r="I805" s="41">
        <f>REGISTRO_B.DATOS!I806</f>
        <v>0</v>
      </c>
      <c r="J805" s="41">
        <f>REGISTRO_B.DATOS!J806</f>
        <v>0</v>
      </c>
      <c r="K805" s="43">
        <f>REGISTRO_B.DATOS!K806</f>
        <v>0</v>
      </c>
    </row>
    <row r="806" spans="1:11" x14ac:dyDescent="0.25">
      <c r="A806" s="40">
        <f>REGISTRO_B.DATOS!A807</f>
        <v>0</v>
      </c>
      <c r="B806" s="41">
        <f>REGISTRO_B.DATOS!B807</f>
        <v>0</v>
      </c>
      <c r="C806" s="41">
        <f>REGISTRO_B.DATOS!C807</f>
        <v>0</v>
      </c>
      <c r="D806" s="41">
        <f>REGISTRO_B.DATOS!D807</f>
        <v>0</v>
      </c>
      <c r="E806" s="42">
        <f>REGISTRO_B.DATOS!E807</f>
        <v>0</v>
      </c>
      <c r="F806" s="41">
        <f>REGISTRO_B.DATOS!F807</f>
        <v>0</v>
      </c>
      <c r="G806" s="41">
        <f>REGISTRO_B.DATOS!G807</f>
        <v>0</v>
      </c>
      <c r="H806" s="41">
        <f>REGISTRO_B.DATOS!H807</f>
        <v>0</v>
      </c>
      <c r="I806" s="41">
        <f>REGISTRO_B.DATOS!I807</f>
        <v>0</v>
      </c>
      <c r="J806" s="41">
        <f>REGISTRO_B.DATOS!J807</f>
        <v>0</v>
      </c>
      <c r="K806" s="43">
        <f>REGISTRO_B.DATOS!K807</f>
        <v>0</v>
      </c>
    </row>
    <row r="807" spans="1:11" x14ac:dyDescent="0.25">
      <c r="A807" s="40">
        <f>REGISTRO_B.DATOS!A808</f>
        <v>0</v>
      </c>
      <c r="B807" s="41">
        <f>REGISTRO_B.DATOS!B808</f>
        <v>0</v>
      </c>
      <c r="C807" s="41">
        <f>REGISTRO_B.DATOS!C808</f>
        <v>0</v>
      </c>
      <c r="D807" s="41">
        <f>REGISTRO_B.DATOS!D808</f>
        <v>0</v>
      </c>
      <c r="E807" s="42">
        <f>REGISTRO_B.DATOS!E808</f>
        <v>0</v>
      </c>
      <c r="F807" s="41">
        <f>REGISTRO_B.DATOS!F808</f>
        <v>0</v>
      </c>
      <c r="G807" s="41">
        <f>REGISTRO_B.DATOS!G808</f>
        <v>0</v>
      </c>
      <c r="H807" s="41">
        <f>REGISTRO_B.DATOS!H808</f>
        <v>0</v>
      </c>
      <c r="I807" s="41">
        <f>REGISTRO_B.DATOS!I808</f>
        <v>0</v>
      </c>
      <c r="J807" s="41">
        <f>REGISTRO_B.DATOS!J808</f>
        <v>0</v>
      </c>
      <c r="K807" s="43">
        <f>REGISTRO_B.DATOS!K808</f>
        <v>0</v>
      </c>
    </row>
    <row r="808" spans="1:11" x14ac:dyDescent="0.25">
      <c r="A808" s="40">
        <f>REGISTRO_B.DATOS!A809</f>
        <v>0</v>
      </c>
      <c r="B808" s="41">
        <f>REGISTRO_B.DATOS!B809</f>
        <v>0</v>
      </c>
      <c r="C808" s="41">
        <f>REGISTRO_B.DATOS!C809</f>
        <v>0</v>
      </c>
      <c r="D808" s="41">
        <f>REGISTRO_B.DATOS!D809</f>
        <v>0</v>
      </c>
      <c r="E808" s="42">
        <f>REGISTRO_B.DATOS!E809</f>
        <v>0</v>
      </c>
      <c r="F808" s="41">
        <f>REGISTRO_B.DATOS!F809</f>
        <v>0</v>
      </c>
      <c r="G808" s="41">
        <f>REGISTRO_B.DATOS!G809</f>
        <v>0</v>
      </c>
      <c r="H808" s="41">
        <f>REGISTRO_B.DATOS!H809</f>
        <v>0</v>
      </c>
      <c r="I808" s="41">
        <f>REGISTRO_B.DATOS!I809</f>
        <v>0</v>
      </c>
      <c r="J808" s="41">
        <f>REGISTRO_B.DATOS!J809</f>
        <v>0</v>
      </c>
      <c r="K808" s="43">
        <f>REGISTRO_B.DATOS!K809</f>
        <v>0</v>
      </c>
    </row>
    <row r="809" spans="1:11" x14ac:dyDescent="0.25">
      <c r="A809" s="40">
        <f>REGISTRO_B.DATOS!A810</f>
        <v>0</v>
      </c>
      <c r="B809" s="41">
        <f>REGISTRO_B.DATOS!B810</f>
        <v>0</v>
      </c>
      <c r="C809" s="41">
        <f>REGISTRO_B.DATOS!C810</f>
        <v>0</v>
      </c>
      <c r="D809" s="41">
        <f>REGISTRO_B.DATOS!D810</f>
        <v>0</v>
      </c>
      <c r="E809" s="42">
        <f>REGISTRO_B.DATOS!E810</f>
        <v>0</v>
      </c>
      <c r="F809" s="41">
        <f>REGISTRO_B.DATOS!F810</f>
        <v>0</v>
      </c>
      <c r="G809" s="41">
        <f>REGISTRO_B.DATOS!G810</f>
        <v>0</v>
      </c>
      <c r="H809" s="41">
        <f>REGISTRO_B.DATOS!H810</f>
        <v>0</v>
      </c>
      <c r="I809" s="41">
        <f>REGISTRO_B.DATOS!I810</f>
        <v>0</v>
      </c>
      <c r="J809" s="41">
        <f>REGISTRO_B.DATOS!J810</f>
        <v>0</v>
      </c>
      <c r="K809" s="43">
        <f>REGISTRO_B.DATOS!K810</f>
        <v>0</v>
      </c>
    </row>
    <row r="810" spans="1:11" x14ac:dyDescent="0.25">
      <c r="A810" s="40">
        <f>REGISTRO_B.DATOS!A811</f>
        <v>0</v>
      </c>
      <c r="B810" s="41">
        <f>REGISTRO_B.DATOS!B811</f>
        <v>0</v>
      </c>
      <c r="C810" s="41">
        <f>REGISTRO_B.DATOS!C811</f>
        <v>0</v>
      </c>
      <c r="D810" s="41">
        <f>REGISTRO_B.DATOS!D811</f>
        <v>0</v>
      </c>
      <c r="E810" s="42">
        <f>REGISTRO_B.DATOS!E811</f>
        <v>0</v>
      </c>
      <c r="F810" s="41">
        <f>REGISTRO_B.DATOS!F811</f>
        <v>0</v>
      </c>
      <c r="G810" s="41">
        <f>REGISTRO_B.DATOS!G811</f>
        <v>0</v>
      </c>
      <c r="H810" s="41">
        <f>REGISTRO_B.DATOS!H811</f>
        <v>0</v>
      </c>
      <c r="I810" s="41">
        <f>REGISTRO_B.DATOS!I811</f>
        <v>0</v>
      </c>
      <c r="J810" s="41">
        <f>REGISTRO_B.DATOS!J811</f>
        <v>0</v>
      </c>
      <c r="K810" s="43">
        <f>REGISTRO_B.DATOS!K811</f>
        <v>0</v>
      </c>
    </row>
    <row r="811" spans="1:11" x14ac:dyDescent="0.25">
      <c r="A811" s="40">
        <f>REGISTRO_B.DATOS!A812</f>
        <v>0</v>
      </c>
      <c r="B811" s="41">
        <f>REGISTRO_B.DATOS!B812</f>
        <v>0</v>
      </c>
      <c r="C811" s="41">
        <f>REGISTRO_B.DATOS!C812</f>
        <v>0</v>
      </c>
      <c r="D811" s="41">
        <f>REGISTRO_B.DATOS!D812</f>
        <v>0</v>
      </c>
      <c r="E811" s="42">
        <f>REGISTRO_B.DATOS!E812</f>
        <v>0</v>
      </c>
      <c r="F811" s="41">
        <f>REGISTRO_B.DATOS!F812</f>
        <v>0</v>
      </c>
      <c r="G811" s="41">
        <f>REGISTRO_B.DATOS!G812</f>
        <v>0</v>
      </c>
      <c r="H811" s="41">
        <f>REGISTRO_B.DATOS!H812</f>
        <v>0</v>
      </c>
      <c r="I811" s="41">
        <f>REGISTRO_B.DATOS!I812</f>
        <v>0</v>
      </c>
      <c r="J811" s="41">
        <f>REGISTRO_B.DATOS!J812</f>
        <v>0</v>
      </c>
      <c r="K811" s="43">
        <f>REGISTRO_B.DATOS!K812</f>
        <v>0</v>
      </c>
    </row>
    <row r="812" spans="1:11" x14ac:dyDescent="0.25">
      <c r="A812" s="40">
        <f>REGISTRO_B.DATOS!A813</f>
        <v>0</v>
      </c>
      <c r="B812" s="41">
        <f>REGISTRO_B.DATOS!B813</f>
        <v>0</v>
      </c>
      <c r="C812" s="41">
        <f>REGISTRO_B.DATOS!C813</f>
        <v>0</v>
      </c>
      <c r="D812" s="41">
        <f>REGISTRO_B.DATOS!D813</f>
        <v>0</v>
      </c>
      <c r="E812" s="42">
        <f>REGISTRO_B.DATOS!E813</f>
        <v>0</v>
      </c>
      <c r="F812" s="41">
        <f>REGISTRO_B.DATOS!F813</f>
        <v>0</v>
      </c>
      <c r="G812" s="41">
        <f>REGISTRO_B.DATOS!G813</f>
        <v>0</v>
      </c>
      <c r="H812" s="41">
        <f>REGISTRO_B.DATOS!H813</f>
        <v>0</v>
      </c>
      <c r="I812" s="41">
        <f>REGISTRO_B.DATOS!I813</f>
        <v>0</v>
      </c>
      <c r="J812" s="41">
        <f>REGISTRO_B.DATOS!J813</f>
        <v>0</v>
      </c>
      <c r="K812" s="43">
        <f>REGISTRO_B.DATOS!K813</f>
        <v>0</v>
      </c>
    </row>
    <row r="813" spans="1:11" x14ac:dyDescent="0.25">
      <c r="A813" s="40">
        <f>REGISTRO_B.DATOS!A814</f>
        <v>0</v>
      </c>
      <c r="B813" s="41">
        <f>REGISTRO_B.DATOS!B814</f>
        <v>0</v>
      </c>
      <c r="C813" s="41">
        <f>REGISTRO_B.DATOS!C814</f>
        <v>0</v>
      </c>
      <c r="D813" s="41">
        <f>REGISTRO_B.DATOS!D814</f>
        <v>0</v>
      </c>
      <c r="E813" s="42">
        <f>REGISTRO_B.DATOS!E814</f>
        <v>0</v>
      </c>
      <c r="F813" s="41">
        <f>REGISTRO_B.DATOS!F814</f>
        <v>0</v>
      </c>
      <c r="G813" s="41">
        <f>REGISTRO_B.DATOS!G814</f>
        <v>0</v>
      </c>
      <c r="H813" s="41">
        <f>REGISTRO_B.DATOS!H814</f>
        <v>0</v>
      </c>
      <c r="I813" s="41">
        <f>REGISTRO_B.DATOS!I814</f>
        <v>0</v>
      </c>
      <c r="J813" s="41">
        <f>REGISTRO_B.DATOS!J814</f>
        <v>0</v>
      </c>
      <c r="K813" s="43">
        <f>REGISTRO_B.DATOS!K814</f>
        <v>0</v>
      </c>
    </row>
    <row r="814" spans="1:11" x14ac:dyDescent="0.25">
      <c r="A814" s="40">
        <f>REGISTRO_B.DATOS!A815</f>
        <v>0</v>
      </c>
      <c r="B814" s="41">
        <f>REGISTRO_B.DATOS!B815</f>
        <v>0</v>
      </c>
      <c r="C814" s="41">
        <f>REGISTRO_B.DATOS!C815</f>
        <v>0</v>
      </c>
      <c r="D814" s="41">
        <f>REGISTRO_B.DATOS!D815</f>
        <v>0</v>
      </c>
      <c r="E814" s="42">
        <f>REGISTRO_B.DATOS!E815</f>
        <v>0</v>
      </c>
      <c r="F814" s="41">
        <f>REGISTRO_B.DATOS!F815</f>
        <v>0</v>
      </c>
      <c r="G814" s="41">
        <f>REGISTRO_B.DATOS!G815</f>
        <v>0</v>
      </c>
      <c r="H814" s="41">
        <f>REGISTRO_B.DATOS!H815</f>
        <v>0</v>
      </c>
      <c r="I814" s="41">
        <f>REGISTRO_B.DATOS!I815</f>
        <v>0</v>
      </c>
      <c r="J814" s="41">
        <f>REGISTRO_B.DATOS!J815</f>
        <v>0</v>
      </c>
      <c r="K814" s="43">
        <f>REGISTRO_B.DATOS!K815</f>
        <v>0</v>
      </c>
    </row>
    <row r="815" spans="1:11" x14ac:dyDescent="0.25">
      <c r="A815" s="40">
        <f>REGISTRO_B.DATOS!A816</f>
        <v>0</v>
      </c>
      <c r="B815" s="41">
        <f>REGISTRO_B.DATOS!B816</f>
        <v>0</v>
      </c>
      <c r="C815" s="41">
        <f>REGISTRO_B.DATOS!C816</f>
        <v>0</v>
      </c>
      <c r="D815" s="41">
        <f>REGISTRO_B.DATOS!D816</f>
        <v>0</v>
      </c>
      <c r="E815" s="42">
        <f>REGISTRO_B.DATOS!E816</f>
        <v>0</v>
      </c>
      <c r="F815" s="41">
        <f>REGISTRO_B.DATOS!F816</f>
        <v>0</v>
      </c>
      <c r="G815" s="41">
        <f>REGISTRO_B.DATOS!G816</f>
        <v>0</v>
      </c>
      <c r="H815" s="41">
        <f>REGISTRO_B.DATOS!H816</f>
        <v>0</v>
      </c>
      <c r="I815" s="41">
        <f>REGISTRO_B.DATOS!I816</f>
        <v>0</v>
      </c>
      <c r="J815" s="41">
        <f>REGISTRO_B.DATOS!J816</f>
        <v>0</v>
      </c>
      <c r="K815" s="43">
        <f>REGISTRO_B.DATOS!K816</f>
        <v>0</v>
      </c>
    </row>
    <row r="816" spans="1:11" x14ac:dyDescent="0.25">
      <c r="A816" s="40">
        <f>REGISTRO_B.DATOS!A817</f>
        <v>0</v>
      </c>
      <c r="B816" s="41">
        <f>REGISTRO_B.DATOS!B817</f>
        <v>0</v>
      </c>
      <c r="C816" s="41">
        <f>REGISTRO_B.DATOS!C817</f>
        <v>0</v>
      </c>
      <c r="D816" s="41">
        <f>REGISTRO_B.DATOS!D817</f>
        <v>0</v>
      </c>
      <c r="E816" s="42">
        <f>REGISTRO_B.DATOS!E817</f>
        <v>0</v>
      </c>
      <c r="F816" s="41">
        <f>REGISTRO_B.DATOS!F817</f>
        <v>0</v>
      </c>
      <c r="G816" s="41">
        <f>REGISTRO_B.DATOS!G817</f>
        <v>0</v>
      </c>
      <c r="H816" s="41">
        <f>REGISTRO_B.DATOS!H817</f>
        <v>0</v>
      </c>
      <c r="I816" s="41">
        <f>REGISTRO_B.DATOS!I817</f>
        <v>0</v>
      </c>
      <c r="J816" s="41">
        <f>REGISTRO_B.DATOS!J817</f>
        <v>0</v>
      </c>
      <c r="K816" s="43">
        <f>REGISTRO_B.DATOS!K817</f>
        <v>0</v>
      </c>
    </row>
    <row r="817" spans="1:11" x14ac:dyDescent="0.25">
      <c r="A817" s="40">
        <f>REGISTRO_B.DATOS!A818</f>
        <v>0</v>
      </c>
      <c r="B817" s="41">
        <f>REGISTRO_B.DATOS!B818</f>
        <v>0</v>
      </c>
      <c r="C817" s="41">
        <f>REGISTRO_B.DATOS!C818</f>
        <v>0</v>
      </c>
      <c r="D817" s="41">
        <f>REGISTRO_B.DATOS!D818</f>
        <v>0</v>
      </c>
      <c r="E817" s="42">
        <f>REGISTRO_B.DATOS!E818</f>
        <v>0</v>
      </c>
      <c r="F817" s="41">
        <f>REGISTRO_B.DATOS!F818</f>
        <v>0</v>
      </c>
      <c r="G817" s="41">
        <f>REGISTRO_B.DATOS!G818</f>
        <v>0</v>
      </c>
      <c r="H817" s="41">
        <f>REGISTRO_B.DATOS!H818</f>
        <v>0</v>
      </c>
      <c r="I817" s="41">
        <f>REGISTRO_B.DATOS!I818</f>
        <v>0</v>
      </c>
      <c r="J817" s="41">
        <f>REGISTRO_B.DATOS!J818</f>
        <v>0</v>
      </c>
      <c r="K817" s="43">
        <f>REGISTRO_B.DATOS!K818</f>
        <v>0</v>
      </c>
    </row>
    <row r="818" spans="1:11" x14ac:dyDescent="0.25">
      <c r="A818" s="40">
        <f>REGISTRO_B.DATOS!A819</f>
        <v>0</v>
      </c>
      <c r="B818" s="41">
        <f>REGISTRO_B.DATOS!B819</f>
        <v>0</v>
      </c>
      <c r="C818" s="41">
        <f>REGISTRO_B.DATOS!C819</f>
        <v>0</v>
      </c>
      <c r="D818" s="41">
        <f>REGISTRO_B.DATOS!D819</f>
        <v>0</v>
      </c>
      <c r="E818" s="42">
        <f>REGISTRO_B.DATOS!E819</f>
        <v>0</v>
      </c>
      <c r="F818" s="41">
        <f>REGISTRO_B.DATOS!F819</f>
        <v>0</v>
      </c>
      <c r="G818" s="41">
        <f>REGISTRO_B.DATOS!G819</f>
        <v>0</v>
      </c>
      <c r="H818" s="41">
        <f>REGISTRO_B.DATOS!H819</f>
        <v>0</v>
      </c>
      <c r="I818" s="41">
        <f>REGISTRO_B.DATOS!I819</f>
        <v>0</v>
      </c>
      <c r="J818" s="41">
        <f>REGISTRO_B.DATOS!J819</f>
        <v>0</v>
      </c>
      <c r="K818" s="43">
        <f>REGISTRO_B.DATOS!K819</f>
        <v>0</v>
      </c>
    </row>
    <row r="819" spans="1:11" x14ac:dyDescent="0.25">
      <c r="A819" s="40">
        <f>REGISTRO_B.DATOS!A820</f>
        <v>0</v>
      </c>
      <c r="B819" s="41">
        <f>REGISTRO_B.DATOS!B820</f>
        <v>0</v>
      </c>
      <c r="C819" s="41">
        <f>REGISTRO_B.DATOS!C820</f>
        <v>0</v>
      </c>
      <c r="D819" s="41">
        <f>REGISTRO_B.DATOS!D820</f>
        <v>0</v>
      </c>
      <c r="E819" s="42">
        <f>REGISTRO_B.DATOS!E820</f>
        <v>0</v>
      </c>
      <c r="F819" s="41">
        <f>REGISTRO_B.DATOS!F820</f>
        <v>0</v>
      </c>
      <c r="G819" s="41">
        <f>REGISTRO_B.DATOS!G820</f>
        <v>0</v>
      </c>
      <c r="H819" s="41">
        <f>REGISTRO_B.DATOS!H820</f>
        <v>0</v>
      </c>
      <c r="I819" s="41">
        <f>REGISTRO_B.DATOS!I820</f>
        <v>0</v>
      </c>
      <c r="J819" s="41">
        <f>REGISTRO_B.DATOS!J820</f>
        <v>0</v>
      </c>
      <c r="K819" s="43">
        <f>REGISTRO_B.DATOS!K820</f>
        <v>0</v>
      </c>
    </row>
    <row r="820" spans="1:11" x14ac:dyDescent="0.25">
      <c r="A820" s="40">
        <f>REGISTRO_B.DATOS!A821</f>
        <v>0</v>
      </c>
      <c r="B820" s="41">
        <f>REGISTRO_B.DATOS!B821</f>
        <v>0</v>
      </c>
      <c r="C820" s="41">
        <f>REGISTRO_B.DATOS!C821</f>
        <v>0</v>
      </c>
      <c r="D820" s="41">
        <f>REGISTRO_B.DATOS!D821</f>
        <v>0</v>
      </c>
      <c r="E820" s="42">
        <f>REGISTRO_B.DATOS!E821</f>
        <v>0</v>
      </c>
      <c r="F820" s="41">
        <f>REGISTRO_B.DATOS!F821</f>
        <v>0</v>
      </c>
      <c r="G820" s="41">
        <f>REGISTRO_B.DATOS!G821</f>
        <v>0</v>
      </c>
      <c r="H820" s="41">
        <f>REGISTRO_B.DATOS!H821</f>
        <v>0</v>
      </c>
      <c r="I820" s="41">
        <f>REGISTRO_B.DATOS!I821</f>
        <v>0</v>
      </c>
      <c r="J820" s="41">
        <f>REGISTRO_B.DATOS!J821</f>
        <v>0</v>
      </c>
      <c r="K820" s="43">
        <f>REGISTRO_B.DATOS!K821</f>
        <v>0</v>
      </c>
    </row>
    <row r="821" spans="1:11" x14ac:dyDescent="0.25">
      <c r="A821" s="40">
        <f>REGISTRO_B.DATOS!A822</f>
        <v>0</v>
      </c>
      <c r="B821" s="41">
        <f>REGISTRO_B.DATOS!B822</f>
        <v>0</v>
      </c>
      <c r="C821" s="41">
        <f>REGISTRO_B.DATOS!C822</f>
        <v>0</v>
      </c>
      <c r="D821" s="41">
        <f>REGISTRO_B.DATOS!D822</f>
        <v>0</v>
      </c>
      <c r="E821" s="42">
        <f>REGISTRO_B.DATOS!E822</f>
        <v>0</v>
      </c>
      <c r="F821" s="41">
        <f>REGISTRO_B.DATOS!F822</f>
        <v>0</v>
      </c>
      <c r="G821" s="41">
        <f>REGISTRO_B.DATOS!G822</f>
        <v>0</v>
      </c>
      <c r="H821" s="41">
        <f>REGISTRO_B.DATOS!H822</f>
        <v>0</v>
      </c>
      <c r="I821" s="41">
        <f>REGISTRO_B.DATOS!I822</f>
        <v>0</v>
      </c>
      <c r="J821" s="41">
        <f>REGISTRO_B.DATOS!J822</f>
        <v>0</v>
      </c>
      <c r="K821" s="43">
        <f>REGISTRO_B.DATOS!K822</f>
        <v>0</v>
      </c>
    </row>
    <row r="822" spans="1:11" x14ac:dyDescent="0.25">
      <c r="A822" s="40">
        <f>REGISTRO_B.DATOS!A823</f>
        <v>0</v>
      </c>
      <c r="B822" s="41">
        <f>REGISTRO_B.DATOS!B823</f>
        <v>0</v>
      </c>
      <c r="C822" s="41">
        <f>REGISTRO_B.DATOS!C823</f>
        <v>0</v>
      </c>
      <c r="D822" s="41">
        <f>REGISTRO_B.DATOS!D823</f>
        <v>0</v>
      </c>
      <c r="E822" s="42">
        <f>REGISTRO_B.DATOS!E823</f>
        <v>0</v>
      </c>
      <c r="F822" s="41">
        <f>REGISTRO_B.DATOS!F823</f>
        <v>0</v>
      </c>
      <c r="G822" s="41">
        <f>REGISTRO_B.DATOS!G823</f>
        <v>0</v>
      </c>
      <c r="H822" s="41">
        <f>REGISTRO_B.DATOS!H823</f>
        <v>0</v>
      </c>
      <c r="I822" s="41">
        <f>REGISTRO_B.DATOS!I823</f>
        <v>0</v>
      </c>
      <c r="J822" s="41">
        <f>REGISTRO_B.DATOS!J823</f>
        <v>0</v>
      </c>
      <c r="K822" s="43">
        <f>REGISTRO_B.DATOS!K823</f>
        <v>0</v>
      </c>
    </row>
    <row r="823" spans="1:11" x14ac:dyDescent="0.25">
      <c r="A823" s="40">
        <f>REGISTRO_B.DATOS!A824</f>
        <v>0</v>
      </c>
      <c r="B823" s="41">
        <f>REGISTRO_B.DATOS!B824</f>
        <v>0</v>
      </c>
      <c r="C823" s="41">
        <f>REGISTRO_B.DATOS!C824</f>
        <v>0</v>
      </c>
      <c r="D823" s="41">
        <f>REGISTRO_B.DATOS!D824</f>
        <v>0</v>
      </c>
      <c r="E823" s="42">
        <f>REGISTRO_B.DATOS!E824</f>
        <v>0</v>
      </c>
      <c r="F823" s="41">
        <f>REGISTRO_B.DATOS!F824</f>
        <v>0</v>
      </c>
      <c r="G823" s="41">
        <f>REGISTRO_B.DATOS!G824</f>
        <v>0</v>
      </c>
      <c r="H823" s="41">
        <f>REGISTRO_B.DATOS!H824</f>
        <v>0</v>
      </c>
      <c r="I823" s="41">
        <f>REGISTRO_B.DATOS!I824</f>
        <v>0</v>
      </c>
      <c r="J823" s="41">
        <f>REGISTRO_B.DATOS!J824</f>
        <v>0</v>
      </c>
      <c r="K823" s="43">
        <f>REGISTRO_B.DATOS!K824</f>
        <v>0</v>
      </c>
    </row>
    <row r="824" spans="1:11" x14ac:dyDescent="0.25">
      <c r="A824" s="40">
        <f>REGISTRO_B.DATOS!A825</f>
        <v>0</v>
      </c>
      <c r="B824" s="41">
        <f>REGISTRO_B.DATOS!B825</f>
        <v>0</v>
      </c>
      <c r="C824" s="41">
        <f>REGISTRO_B.DATOS!C825</f>
        <v>0</v>
      </c>
      <c r="D824" s="41">
        <f>REGISTRO_B.DATOS!D825</f>
        <v>0</v>
      </c>
      <c r="E824" s="42">
        <f>REGISTRO_B.DATOS!E825</f>
        <v>0</v>
      </c>
      <c r="F824" s="41">
        <f>REGISTRO_B.DATOS!F825</f>
        <v>0</v>
      </c>
      <c r="G824" s="41">
        <f>REGISTRO_B.DATOS!G825</f>
        <v>0</v>
      </c>
      <c r="H824" s="41">
        <f>REGISTRO_B.DATOS!H825</f>
        <v>0</v>
      </c>
      <c r="I824" s="41">
        <f>REGISTRO_B.DATOS!I825</f>
        <v>0</v>
      </c>
      <c r="J824" s="41">
        <f>REGISTRO_B.DATOS!J825</f>
        <v>0</v>
      </c>
      <c r="K824" s="43">
        <f>REGISTRO_B.DATOS!K825</f>
        <v>0</v>
      </c>
    </row>
    <row r="825" spans="1:11" x14ac:dyDescent="0.25">
      <c r="A825" s="40">
        <f>REGISTRO_B.DATOS!A826</f>
        <v>0</v>
      </c>
      <c r="B825" s="41">
        <f>REGISTRO_B.DATOS!B826</f>
        <v>0</v>
      </c>
      <c r="C825" s="41">
        <f>REGISTRO_B.DATOS!C826</f>
        <v>0</v>
      </c>
      <c r="D825" s="41">
        <f>REGISTRO_B.DATOS!D826</f>
        <v>0</v>
      </c>
      <c r="E825" s="42">
        <f>REGISTRO_B.DATOS!E826</f>
        <v>0</v>
      </c>
      <c r="F825" s="41">
        <f>REGISTRO_B.DATOS!F826</f>
        <v>0</v>
      </c>
      <c r="G825" s="41">
        <f>REGISTRO_B.DATOS!G826</f>
        <v>0</v>
      </c>
      <c r="H825" s="41">
        <f>REGISTRO_B.DATOS!H826</f>
        <v>0</v>
      </c>
      <c r="I825" s="41">
        <f>REGISTRO_B.DATOS!I826</f>
        <v>0</v>
      </c>
      <c r="J825" s="41">
        <f>REGISTRO_B.DATOS!J826</f>
        <v>0</v>
      </c>
      <c r="K825" s="43">
        <f>REGISTRO_B.DATOS!K826</f>
        <v>0</v>
      </c>
    </row>
    <row r="826" spans="1:11" x14ac:dyDescent="0.25">
      <c r="A826" s="40">
        <f>REGISTRO_B.DATOS!A827</f>
        <v>0</v>
      </c>
      <c r="B826" s="41">
        <f>REGISTRO_B.DATOS!B827</f>
        <v>0</v>
      </c>
      <c r="C826" s="41">
        <f>REGISTRO_B.DATOS!C827</f>
        <v>0</v>
      </c>
      <c r="D826" s="41">
        <f>REGISTRO_B.DATOS!D827</f>
        <v>0</v>
      </c>
      <c r="E826" s="42">
        <f>REGISTRO_B.DATOS!E827</f>
        <v>0</v>
      </c>
      <c r="F826" s="41">
        <f>REGISTRO_B.DATOS!F827</f>
        <v>0</v>
      </c>
      <c r="G826" s="41">
        <f>REGISTRO_B.DATOS!G827</f>
        <v>0</v>
      </c>
      <c r="H826" s="41">
        <f>REGISTRO_B.DATOS!H827</f>
        <v>0</v>
      </c>
      <c r="I826" s="41">
        <f>REGISTRO_B.DATOS!I827</f>
        <v>0</v>
      </c>
      <c r="J826" s="41">
        <f>REGISTRO_B.DATOS!J827</f>
        <v>0</v>
      </c>
      <c r="K826" s="43">
        <f>REGISTRO_B.DATOS!K827</f>
        <v>0</v>
      </c>
    </row>
    <row r="827" spans="1:11" x14ac:dyDescent="0.25">
      <c r="A827" s="40">
        <f>REGISTRO_B.DATOS!A828</f>
        <v>0</v>
      </c>
      <c r="B827" s="41">
        <f>REGISTRO_B.DATOS!B828</f>
        <v>0</v>
      </c>
      <c r="C827" s="41">
        <f>REGISTRO_B.DATOS!C828</f>
        <v>0</v>
      </c>
      <c r="D827" s="41">
        <f>REGISTRO_B.DATOS!D828</f>
        <v>0</v>
      </c>
      <c r="E827" s="42">
        <f>REGISTRO_B.DATOS!E828</f>
        <v>0</v>
      </c>
      <c r="F827" s="41">
        <f>REGISTRO_B.DATOS!F828</f>
        <v>0</v>
      </c>
      <c r="G827" s="41">
        <f>REGISTRO_B.DATOS!G828</f>
        <v>0</v>
      </c>
      <c r="H827" s="41">
        <f>REGISTRO_B.DATOS!H828</f>
        <v>0</v>
      </c>
      <c r="I827" s="41">
        <f>REGISTRO_B.DATOS!I828</f>
        <v>0</v>
      </c>
      <c r="J827" s="41">
        <f>REGISTRO_B.DATOS!J828</f>
        <v>0</v>
      </c>
      <c r="K827" s="43">
        <f>REGISTRO_B.DATOS!K828</f>
        <v>0</v>
      </c>
    </row>
    <row r="828" spans="1:11" x14ac:dyDescent="0.25">
      <c r="A828" s="40">
        <f>REGISTRO_B.DATOS!A829</f>
        <v>0</v>
      </c>
      <c r="B828" s="41">
        <f>REGISTRO_B.DATOS!B829</f>
        <v>0</v>
      </c>
      <c r="C828" s="41">
        <f>REGISTRO_B.DATOS!C829</f>
        <v>0</v>
      </c>
      <c r="D828" s="41">
        <f>REGISTRO_B.DATOS!D829</f>
        <v>0</v>
      </c>
      <c r="E828" s="42">
        <f>REGISTRO_B.DATOS!E829</f>
        <v>0</v>
      </c>
      <c r="F828" s="41">
        <f>REGISTRO_B.DATOS!F829</f>
        <v>0</v>
      </c>
      <c r="G828" s="41">
        <f>REGISTRO_B.DATOS!G829</f>
        <v>0</v>
      </c>
      <c r="H828" s="41">
        <f>REGISTRO_B.DATOS!H829</f>
        <v>0</v>
      </c>
      <c r="I828" s="41">
        <f>REGISTRO_B.DATOS!I829</f>
        <v>0</v>
      </c>
      <c r="J828" s="41">
        <f>REGISTRO_B.DATOS!J829</f>
        <v>0</v>
      </c>
      <c r="K828" s="43">
        <f>REGISTRO_B.DATOS!K829</f>
        <v>0</v>
      </c>
    </row>
    <row r="829" spans="1:11" x14ac:dyDescent="0.25">
      <c r="A829" s="40">
        <f>REGISTRO_B.DATOS!A830</f>
        <v>0</v>
      </c>
      <c r="B829" s="41">
        <f>REGISTRO_B.DATOS!B830</f>
        <v>0</v>
      </c>
      <c r="C829" s="41">
        <f>REGISTRO_B.DATOS!C830</f>
        <v>0</v>
      </c>
      <c r="D829" s="41">
        <f>REGISTRO_B.DATOS!D830</f>
        <v>0</v>
      </c>
      <c r="E829" s="42">
        <f>REGISTRO_B.DATOS!E830</f>
        <v>0</v>
      </c>
      <c r="F829" s="41">
        <f>REGISTRO_B.DATOS!F830</f>
        <v>0</v>
      </c>
      <c r="G829" s="41">
        <f>REGISTRO_B.DATOS!G830</f>
        <v>0</v>
      </c>
      <c r="H829" s="41">
        <f>REGISTRO_B.DATOS!H830</f>
        <v>0</v>
      </c>
      <c r="I829" s="41">
        <f>REGISTRO_B.DATOS!I830</f>
        <v>0</v>
      </c>
      <c r="J829" s="41">
        <f>REGISTRO_B.DATOS!J830</f>
        <v>0</v>
      </c>
      <c r="K829" s="43">
        <f>REGISTRO_B.DATOS!K830</f>
        <v>0</v>
      </c>
    </row>
    <row r="830" spans="1:11" x14ac:dyDescent="0.25">
      <c r="A830" s="40">
        <f>REGISTRO_B.DATOS!A831</f>
        <v>0</v>
      </c>
      <c r="B830" s="41">
        <f>REGISTRO_B.DATOS!B831</f>
        <v>0</v>
      </c>
      <c r="C830" s="41">
        <f>REGISTRO_B.DATOS!C831</f>
        <v>0</v>
      </c>
      <c r="D830" s="41">
        <f>REGISTRO_B.DATOS!D831</f>
        <v>0</v>
      </c>
      <c r="E830" s="42">
        <f>REGISTRO_B.DATOS!E831</f>
        <v>0</v>
      </c>
      <c r="F830" s="41">
        <f>REGISTRO_B.DATOS!F831</f>
        <v>0</v>
      </c>
      <c r="G830" s="41">
        <f>REGISTRO_B.DATOS!G831</f>
        <v>0</v>
      </c>
      <c r="H830" s="41">
        <f>REGISTRO_B.DATOS!H831</f>
        <v>0</v>
      </c>
      <c r="I830" s="41">
        <f>REGISTRO_B.DATOS!I831</f>
        <v>0</v>
      </c>
      <c r="J830" s="41">
        <f>REGISTRO_B.DATOS!J831</f>
        <v>0</v>
      </c>
      <c r="K830" s="43">
        <f>REGISTRO_B.DATOS!K831</f>
        <v>0</v>
      </c>
    </row>
    <row r="831" spans="1:11" x14ac:dyDescent="0.25">
      <c r="A831" s="40">
        <f>REGISTRO_B.DATOS!A832</f>
        <v>0</v>
      </c>
      <c r="B831" s="41">
        <f>REGISTRO_B.DATOS!B832</f>
        <v>0</v>
      </c>
      <c r="C831" s="41">
        <f>REGISTRO_B.DATOS!C832</f>
        <v>0</v>
      </c>
      <c r="D831" s="41">
        <f>REGISTRO_B.DATOS!D832</f>
        <v>0</v>
      </c>
      <c r="E831" s="42">
        <f>REGISTRO_B.DATOS!E832</f>
        <v>0</v>
      </c>
      <c r="F831" s="41">
        <f>REGISTRO_B.DATOS!F832</f>
        <v>0</v>
      </c>
      <c r="G831" s="41">
        <f>REGISTRO_B.DATOS!G832</f>
        <v>0</v>
      </c>
      <c r="H831" s="41">
        <f>REGISTRO_B.DATOS!H832</f>
        <v>0</v>
      </c>
      <c r="I831" s="41">
        <f>REGISTRO_B.DATOS!I832</f>
        <v>0</v>
      </c>
      <c r="J831" s="41">
        <f>REGISTRO_B.DATOS!J832</f>
        <v>0</v>
      </c>
      <c r="K831" s="43">
        <f>REGISTRO_B.DATOS!K832</f>
        <v>0</v>
      </c>
    </row>
    <row r="832" spans="1:11" x14ac:dyDescent="0.25">
      <c r="A832" s="40">
        <f>REGISTRO_B.DATOS!A833</f>
        <v>0</v>
      </c>
      <c r="B832" s="41">
        <f>REGISTRO_B.DATOS!B833</f>
        <v>0</v>
      </c>
      <c r="C832" s="41">
        <f>REGISTRO_B.DATOS!C833</f>
        <v>0</v>
      </c>
      <c r="D832" s="41">
        <f>REGISTRO_B.DATOS!D833</f>
        <v>0</v>
      </c>
      <c r="E832" s="42">
        <f>REGISTRO_B.DATOS!E833</f>
        <v>0</v>
      </c>
      <c r="F832" s="41">
        <f>REGISTRO_B.DATOS!F833</f>
        <v>0</v>
      </c>
      <c r="G832" s="41">
        <f>REGISTRO_B.DATOS!G833</f>
        <v>0</v>
      </c>
      <c r="H832" s="41">
        <f>REGISTRO_B.DATOS!H833</f>
        <v>0</v>
      </c>
      <c r="I832" s="41">
        <f>REGISTRO_B.DATOS!I833</f>
        <v>0</v>
      </c>
      <c r="J832" s="41">
        <f>REGISTRO_B.DATOS!J833</f>
        <v>0</v>
      </c>
      <c r="K832" s="43">
        <f>REGISTRO_B.DATOS!K833</f>
        <v>0</v>
      </c>
    </row>
    <row r="833" spans="1:11" x14ac:dyDescent="0.25">
      <c r="A833" s="40">
        <f>REGISTRO_B.DATOS!A834</f>
        <v>0</v>
      </c>
      <c r="B833" s="41">
        <f>REGISTRO_B.DATOS!B834</f>
        <v>0</v>
      </c>
      <c r="C833" s="41">
        <f>REGISTRO_B.DATOS!C834</f>
        <v>0</v>
      </c>
      <c r="D833" s="41">
        <f>REGISTRO_B.DATOS!D834</f>
        <v>0</v>
      </c>
      <c r="E833" s="42">
        <f>REGISTRO_B.DATOS!E834</f>
        <v>0</v>
      </c>
      <c r="F833" s="41">
        <f>REGISTRO_B.DATOS!F834</f>
        <v>0</v>
      </c>
      <c r="G833" s="41">
        <f>REGISTRO_B.DATOS!G834</f>
        <v>0</v>
      </c>
      <c r="H833" s="41">
        <f>REGISTRO_B.DATOS!H834</f>
        <v>0</v>
      </c>
      <c r="I833" s="41">
        <f>REGISTRO_B.DATOS!I834</f>
        <v>0</v>
      </c>
      <c r="J833" s="41">
        <f>REGISTRO_B.DATOS!J834</f>
        <v>0</v>
      </c>
      <c r="K833" s="43">
        <f>REGISTRO_B.DATOS!K834</f>
        <v>0</v>
      </c>
    </row>
    <row r="834" spans="1:11" x14ac:dyDescent="0.25">
      <c r="A834" s="40">
        <f>REGISTRO_B.DATOS!A835</f>
        <v>0</v>
      </c>
      <c r="B834" s="41">
        <f>REGISTRO_B.DATOS!B835</f>
        <v>0</v>
      </c>
      <c r="C834" s="41">
        <f>REGISTRO_B.DATOS!C835</f>
        <v>0</v>
      </c>
      <c r="D834" s="41">
        <f>REGISTRO_B.DATOS!D835</f>
        <v>0</v>
      </c>
      <c r="E834" s="42">
        <f>REGISTRO_B.DATOS!E835</f>
        <v>0</v>
      </c>
      <c r="F834" s="41">
        <f>REGISTRO_B.DATOS!F835</f>
        <v>0</v>
      </c>
      <c r="G834" s="41">
        <f>REGISTRO_B.DATOS!G835</f>
        <v>0</v>
      </c>
      <c r="H834" s="41">
        <f>REGISTRO_B.DATOS!H835</f>
        <v>0</v>
      </c>
      <c r="I834" s="41">
        <f>REGISTRO_B.DATOS!I835</f>
        <v>0</v>
      </c>
      <c r="J834" s="41">
        <f>REGISTRO_B.DATOS!J835</f>
        <v>0</v>
      </c>
      <c r="K834" s="43">
        <f>REGISTRO_B.DATOS!K835</f>
        <v>0</v>
      </c>
    </row>
    <row r="835" spans="1:11" x14ac:dyDescent="0.25">
      <c r="A835" s="40">
        <f>REGISTRO_B.DATOS!A836</f>
        <v>0</v>
      </c>
      <c r="B835" s="41">
        <f>REGISTRO_B.DATOS!B836</f>
        <v>0</v>
      </c>
      <c r="C835" s="41">
        <f>REGISTRO_B.DATOS!C836</f>
        <v>0</v>
      </c>
      <c r="D835" s="41">
        <f>REGISTRO_B.DATOS!D836</f>
        <v>0</v>
      </c>
      <c r="E835" s="42">
        <f>REGISTRO_B.DATOS!E836</f>
        <v>0</v>
      </c>
      <c r="F835" s="41">
        <f>REGISTRO_B.DATOS!F836</f>
        <v>0</v>
      </c>
      <c r="G835" s="41">
        <f>REGISTRO_B.DATOS!G836</f>
        <v>0</v>
      </c>
      <c r="H835" s="41">
        <f>REGISTRO_B.DATOS!H836</f>
        <v>0</v>
      </c>
      <c r="I835" s="41">
        <f>REGISTRO_B.DATOS!I836</f>
        <v>0</v>
      </c>
      <c r="J835" s="41">
        <f>REGISTRO_B.DATOS!J836</f>
        <v>0</v>
      </c>
      <c r="K835" s="43">
        <f>REGISTRO_B.DATOS!K836</f>
        <v>0</v>
      </c>
    </row>
    <row r="836" spans="1:11" x14ac:dyDescent="0.25">
      <c r="A836" s="40">
        <f>REGISTRO_B.DATOS!A837</f>
        <v>0</v>
      </c>
      <c r="B836" s="41">
        <f>REGISTRO_B.DATOS!B837</f>
        <v>0</v>
      </c>
      <c r="C836" s="41">
        <f>REGISTRO_B.DATOS!C837</f>
        <v>0</v>
      </c>
      <c r="D836" s="41">
        <f>REGISTRO_B.DATOS!D837</f>
        <v>0</v>
      </c>
      <c r="E836" s="42">
        <f>REGISTRO_B.DATOS!E837</f>
        <v>0</v>
      </c>
      <c r="F836" s="41">
        <f>REGISTRO_B.DATOS!F837</f>
        <v>0</v>
      </c>
      <c r="G836" s="41">
        <f>REGISTRO_B.DATOS!G837</f>
        <v>0</v>
      </c>
      <c r="H836" s="41">
        <f>REGISTRO_B.DATOS!H837</f>
        <v>0</v>
      </c>
      <c r="I836" s="41">
        <f>REGISTRO_B.DATOS!I837</f>
        <v>0</v>
      </c>
      <c r="J836" s="41">
        <f>REGISTRO_B.DATOS!J837</f>
        <v>0</v>
      </c>
      <c r="K836" s="43">
        <f>REGISTRO_B.DATOS!K837</f>
        <v>0</v>
      </c>
    </row>
    <row r="837" spans="1:11" x14ac:dyDescent="0.25">
      <c r="A837" s="40">
        <f>REGISTRO_B.DATOS!A838</f>
        <v>0</v>
      </c>
      <c r="B837" s="41">
        <f>REGISTRO_B.DATOS!B838</f>
        <v>0</v>
      </c>
      <c r="C837" s="41">
        <f>REGISTRO_B.DATOS!C838</f>
        <v>0</v>
      </c>
      <c r="D837" s="41">
        <f>REGISTRO_B.DATOS!D838</f>
        <v>0</v>
      </c>
      <c r="E837" s="42">
        <f>REGISTRO_B.DATOS!E838</f>
        <v>0</v>
      </c>
      <c r="F837" s="41">
        <f>REGISTRO_B.DATOS!F838</f>
        <v>0</v>
      </c>
      <c r="G837" s="41">
        <f>REGISTRO_B.DATOS!G838</f>
        <v>0</v>
      </c>
      <c r="H837" s="41">
        <f>REGISTRO_B.DATOS!H838</f>
        <v>0</v>
      </c>
      <c r="I837" s="41">
        <f>REGISTRO_B.DATOS!I838</f>
        <v>0</v>
      </c>
      <c r="J837" s="41">
        <f>REGISTRO_B.DATOS!J838</f>
        <v>0</v>
      </c>
      <c r="K837" s="43">
        <f>REGISTRO_B.DATOS!K838</f>
        <v>0</v>
      </c>
    </row>
    <row r="838" spans="1:11" x14ac:dyDescent="0.25">
      <c r="A838" s="40">
        <f>REGISTRO_B.DATOS!A839</f>
        <v>0</v>
      </c>
      <c r="B838" s="41">
        <f>REGISTRO_B.DATOS!B839</f>
        <v>0</v>
      </c>
      <c r="C838" s="41">
        <f>REGISTRO_B.DATOS!C839</f>
        <v>0</v>
      </c>
      <c r="D838" s="41">
        <f>REGISTRO_B.DATOS!D839</f>
        <v>0</v>
      </c>
      <c r="E838" s="42">
        <f>REGISTRO_B.DATOS!E839</f>
        <v>0</v>
      </c>
      <c r="F838" s="41">
        <f>REGISTRO_B.DATOS!F839</f>
        <v>0</v>
      </c>
      <c r="G838" s="41">
        <f>REGISTRO_B.DATOS!G839</f>
        <v>0</v>
      </c>
      <c r="H838" s="41">
        <f>REGISTRO_B.DATOS!H839</f>
        <v>0</v>
      </c>
      <c r="I838" s="41">
        <f>REGISTRO_B.DATOS!I839</f>
        <v>0</v>
      </c>
      <c r="J838" s="41">
        <f>REGISTRO_B.DATOS!J839</f>
        <v>0</v>
      </c>
      <c r="K838" s="43">
        <f>REGISTRO_B.DATOS!K839</f>
        <v>0</v>
      </c>
    </row>
    <row r="839" spans="1:11" x14ac:dyDescent="0.25">
      <c r="A839" s="40">
        <f>REGISTRO_B.DATOS!A840</f>
        <v>0</v>
      </c>
      <c r="B839" s="41">
        <f>REGISTRO_B.DATOS!B840</f>
        <v>0</v>
      </c>
      <c r="C839" s="41">
        <f>REGISTRO_B.DATOS!C840</f>
        <v>0</v>
      </c>
      <c r="D839" s="41">
        <f>REGISTRO_B.DATOS!D840</f>
        <v>0</v>
      </c>
      <c r="E839" s="42">
        <f>REGISTRO_B.DATOS!E840</f>
        <v>0</v>
      </c>
      <c r="F839" s="41">
        <f>REGISTRO_B.DATOS!F840</f>
        <v>0</v>
      </c>
      <c r="G839" s="41">
        <f>REGISTRO_B.DATOS!G840</f>
        <v>0</v>
      </c>
      <c r="H839" s="41">
        <f>REGISTRO_B.DATOS!H840</f>
        <v>0</v>
      </c>
      <c r="I839" s="41">
        <f>REGISTRO_B.DATOS!I840</f>
        <v>0</v>
      </c>
      <c r="J839" s="41">
        <f>REGISTRO_B.DATOS!J840</f>
        <v>0</v>
      </c>
      <c r="K839" s="43">
        <f>REGISTRO_B.DATOS!K840</f>
        <v>0</v>
      </c>
    </row>
    <row r="840" spans="1:11" x14ac:dyDescent="0.25">
      <c r="A840" s="40">
        <f>REGISTRO_B.DATOS!A841</f>
        <v>0</v>
      </c>
      <c r="B840" s="41">
        <f>REGISTRO_B.DATOS!B841</f>
        <v>0</v>
      </c>
      <c r="C840" s="41">
        <f>REGISTRO_B.DATOS!C841</f>
        <v>0</v>
      </c>
      <c r="D840" s="41">
        <f>REGISTRO_B.DATOS!D841</f>
        <v>0</v>
      </c>
      <c r="E840" s="42">
        <f>REGISTRO_B.DATOS!E841</f>
        <v>0</v>
      </c>
      <c r="F840" s="41">
        <f>REGISTRO_B.DATOS!F841</f>
        <v>0</v>
      </c>
      <c r="G840" s="41">
        <f>REGISTRO_B.DATOS!G841</f>
        <v>0</v>
      </c>
      <c r="H840" s="41">
        <f>REGISTRO_B.DATOS!H841</f>
        <v>0</v>
      </c>
      <c r="I840" s="41">
        <f>REGISTRO_B.DATOS!I841</f>
        <v>0</v>
      </c>
      <c r="J840" s="41">
        <f>REGISTRO_B.DATOS!J841</f>
        <v>0</v>
      </c>
      <c r="K840" s="43">
        <f>REGISTRO_B.DATOS!K841</f>
        <v>0</v>
      </c>
    </row>
    <row r="841" spans="1:11" x14ac:dyDescent="0.25">
      <c r="A841" s="40">
        <f>REGISTRO_B.DATOS!A842</f>
        <v>0</v>
      </c>
      <c r="B841" s="41">
        <f>REGISTRO_B.DATOS!B842</f>
        <v>0</v>
      </c>
      <c r="C841" s="41">
        <f>REGISTRO_B.DATOS!C842</f>
        <v>0</v>
      </c>
      <c r="D841" s="41">
        <f>REGISTRO_B.DATOS!D842</f>
        <v>0</v>
      </c>
      <c r="E841" s="42">
        <f>REGISTRO_B.DATOS!E842</f>
        <v>0</v>
      </c>
      <c r="F841" s="41">
        <f>REGISTRO_B.DATOS!F842</f>
        <v>0</v>
      </c>
      <c r="G841" s="41">
        <f>REGISTRO_B.DATOS!G842</f>
        <v>0</v>
      </c>
      <c r="H841" s="41">
        <f>REGISTRO_B.DATOS!H842</f>
        <v>0</v>
      </c>
      <c r="I841" s="41">
        <f>REGISTRO_B.DATOS!I842</f>
        <v>0</v>
      </c>
      <c r="J841" s="41">
        <f>REGISTRO_B.DATOS!J842</f>
        <v>0</v>
      </c>
      <c r="K841" s="43">
        <f>REGISTRO_B.DATOS!K842</f>
        <v>0</v>
      </c>
    </row>
    <row r="842" spans="1:11" x14ac:dyDescent="0.25">
      <c r="A842" s="40">
        <f>REGISTRO_B.DATOS!A843</f>
        <v>0</v>
      </c>
      <c r="B842" s="41">
        <f>REGISTRO_B.DATOS!B843</f>
        <v>0</v>
      </c>
      <c r="C842" s="41">
        <f>REGISTRO_B.DATOS!C843</f>
        <v>0</v>
      </c>
      <c r="D842" s="41">
        <f>REGISTRO_B.DATOS!D843</f>
        <v>0</v>
      </c>
      <c r="E842" s="42">
        <f>REGISTRO_B.DATOS!E843</f>
        <v>0</v>
      </c>
      <c r="F842" s="41">
        <f>REGISTRO_B.DATOS!F843</f>
        <v>0</v>
      </c>
      <c r="G842" s="41">
        <f>REGISTRO_B.DATOS!G843</f>
        <v>0</v>
      </c>
      <c r="H842" s="41">
        <f>REGISTRO_B.DATOS!H843</f>
        <v>0</v>
      </c>
      <c r="I842" s="41">
        <f>REGISTRO_B.DATOS!I843</f>
        <v>0</v>
      </c>
      <c r="J842" s="41">
        <f>REGISTRO_B.DATOS!J843</f>
        <v>0</v>
      </c>
      <c r="K842" s="43">
        <f>REGISTRO_B.DATOS!K843</f>
        <v>0</v>
      </c>
    </row>
    <row r="843" spans="1:11" x14ac:dyDescent="0.25">
      <c r="A843" s="40">
        <f>REGISTRO_B.DATOS!A844</f>
        <v>0</v>
      </c>
      <c r="B843" s="41">
        <f>REGISTRO_B.DATOS!B844</f>
        <v>0</v>
      </c>
      <c r="C843" s="41">
        <f>REGISTRO_B.DATOS!C844</f>
        <v>0</v>
      </c>
      <c r="D843" s="41">
        <f>REGISTRO_B.DATOS!D844</f>
        <v>0</v>
      </c>
      <c r="E843" s="42">
        <f>REGISTRO_B.DATOS!E844</f>
        <v>0</v>
      </c>
      <c r="F843" s="41">
        <f>REGISTRO_B.DATOS!F844</f>
        <v>0</v>
      </c>
      <c r="G843" s="41">
        <f>REGISTRO_B.DATOS!G844</f>
        <v>0</v>
      </c>
      <c r="H843" s="41">
        <f>REGISTRO_B.DATOS!H844</f>
        <v>0</v>
      </c>
      <c r="I843" s="41">
        <f>REGISTRO_B.DATOS!I844</f>
        <v>0</v>
      </c>
      <c r="J843" s="41">
        <f>REGISTRO_B.DATOS!J844</f>
        <v>0</v>
      </c>
      <c r="K843" s="43">
        <f>REGISTRO_B.DATOS!K844</f>
        <v>0</v>
      </c>
    </row>
    <row r="844" spans="1:11" x14ac:dyDescent="0.25">
      <c r="A844" s="40">
        <f>REGISTRO_B.DATOS!A845</f>
        <v>0</v>
      </c>
      <c r="B844" s="41">
        <f>REGISTRO_B.DATOS!B845</f>
        <v>0</v>
      </c>
      <c r="C844" s="41">
        <f>REGISTRO_B.DATOS!C845</f>
        <v>0</v>
      </c>
      <c r="D844" s="41">
        <f>REGISTRO_B.DATOS!D845</f>
        <v>0</v>
      </c>
      <c r="E844" s="42">
        <f>REGISTRO_B.DATOS!E845</f>
        <v>0</v>
      </c>
      <c r="F844" s="41">
        <f>REGISTRO_B.DATOS!F845</f>
        <v>0</v>
      </c>
      <c r="G844" s="41">
        <f>REGISTRO_B.DATOS!G845</f>
        <v>0</v>
      </c>
      <c r="H844" s="41">
        <f>REGISTRO_B.DATOS!H845</f>
        <v>0</v>
      </c>
      <c r="I844" s="41">
        <f>REGISTRO_B.DATOS!I845</f>
        <v>0</v>
      </c>
      <c r="J844" s="41">
        <f>REGISTRO_B.DATOS!J845</f>
        <v>0</v>
      </c>
      <c r="K844" s="43">
        <f>REGISTRO_B.DATOS!K845</f>
        <v>0</v>
      </c>
    </row>
    <row r="845" spans="1:11" x14ac:dyDescent="0.25">
      <c r="A845" s="40">
        <f>REGISTRO_B.DATOS!A846</f>
        <v>0</v>
      </c>
      <c r="B845" s="41">
        <f>REGISTRO_B.DATOS!B846</f>
        <v>0</v>
      </c>
      <c r="C845" s="41">
        <f>REGISTRO_B.DATOS!C846</f>
        <v>0</v>
      </c>
      <c r="D845" s="41">
        <f>REGISTRO_B.DATOS!D846</f>
        <v>0</v>
      </c>
      <c r="E845" s="42">
        <f>REGISTRO_B.DATOS!E846</f>
        <v>0</v>
      </c>
      <c r="F845" s="41">
        <f>REGISTRO_B.DATOS!F846</f>
        <v>0</v>
      </c>
      <c r="G845" s="41">
        <f>REGISTRO_B.DATOS!G846</f>
        <v>0</v>
      </c>
      <c r="H845" s="41">
        <f>REGISTRO_B.DATOS!H846</f>
        <v>0</v>
      </c>
      <c r="I845" s="41">
        <f>REGISTRO_B.DATOS!I846</f>
        <v>0</v>
      </c>
      <c r="J845" s="41">
        <f>REGISTRO_B.DATOS!J846</f>
        <v>0</v>
      </c>
      <c r="K845" s="43">
        <f>REGISTRO_B.DATOS!K846</f>
        <v>0</v>
      </c>
    </row>
    <row r="846" spans="1:11" x14ac:dyDescent="0.25">
      <c r="A846" s="40">
        <f>REGISTRO_B.DATOS!A847</f>
        <v>0</v>
      </c>
      <c r="B846" s="41">
        <f>REGISTRO_B.DATOS!B847</f>
        <v>0</v>
      </c>
      <c r="C846" s="41">
        <f>REGISTRO_B.DATOS!C847</f>
        <v>0</v>
      </c>
      <c r="D846" s="41">
        <f>REGISTRO_B.DATOS!D847</f>
        <v>0</v>
      </c>
      <c r="E846" s="42">
        <f>REGISTRO_B.DATOS!E847</f>
        <v>0</v>
      </c>
      <c r="F846" s="41">
        <f>REGISTRO_B.DATOS!F847</f>
        <v>0</v>
      </c>
      <c r="G846" s="41">
        <f>REGISTRO_B.DATOS!G847</f>
        <v>0</v>
      </c>
      <c r="H846" s="41">
        <f>REGISTRO_B.DATOS!H847</f>
        <v>0</v>
      </c>
      <c r="I846" s="41">
        <f>REGISTRO_B.DATOS!I847</f>
        <v>0</v>
      </c>
      <c r="J846" s="41">
        <f>REGISTRO_B.DATOS!J847</f>
        <v>0</v>
      </c>
      <c r="K846" s="43">
        <f>REGISTRO_B.DATOS!K847</f>
        <v>0</v>
      </c>
    </row>
    <row r="847" spans="1:11" x14ac:dyDescent="0.25">
      <c r="A847" s="40">
        <f>REGISTRO_B.DATOS!A848</f>
        <v>0</v>
      </c>
      <c r="B847" s="41">
        <f>REGISTRO_B.DATOS!B848</f>
        <v>0</v>
      </c>
      <c r="C847" s="41">
        <f>REGISTRO_B.DATOS!C848</f>
        <v>0</v>
      </c>
      <c r="D847" s="41">
        <f>REGISTRO_B.DATOS!D848</f>
        <v>0</v>
      </c>
      <c r="E847" s="42">
        <f>REGISTRO_B.DATOS!E848</f>
        <v>0</v>
      </c>
      <c r="F847" s="41">
        <f>REGISTRO_B.DATOS!F848</f>
        <v>0</v>
      </c>
      <c r="G847" s="41">
        <f>REGISTRO_B.DATOS!G848</f>
        <v>0</v>
      </c>
      <c r="H847" s="41">
        <f>REGISTRO_B.DATOS!H848</f>
        <v>0</v>
      </c>
      <c r="I847" s="41">
        <f>REGISTRO_B.DATOS!I848</f>
        <v>0</v>
      </c>
      <c r="J847" s="41">
        <f>REGISTRO_B.DATOS!J848</f>
        <v>0</v>
      </c>
      <c r="K847" s="43">
        <f>REGISTRO_B.DATOS!K848</f>
        <v>0</v>
      </c>
    </row>
    <row r="848" spans="1:11" x14ac:dyDescent="0.25">
      <c r="A848" s="40">
        <f>REGISTRO_B.DATOS!A849</f>
        <v>0</v>
      </c>
      <c r="B848" s="41">
        <f>REGISTRO_B.DATOS!B849</f>
        <v>0</v>
      </c>
      <c r="C848" s="41">
        <f>REGISTRO_B.DATOS!C849</f>
        <v>0</v>
      </c>
      <c r="D848" s="41">
        <f>REGISTRO_B.DATOS!D849</f>
        <v>0</v>
      </c>
      <c r="E848" s="42">
        <f>REGISTRO_B.DATOS!E849</f>
        <v>0</v>
      </c>
      <c r="F848" s="41">
        <f>REGISTRO_B.DATOS!F849</f>
        <v>0</v>
      </c>
      <c r="G848" s="41">
        <f>REGISTRO_B.DATOS!G849</f>
        <v>0</v>
      </c>
      <c r="H848" s="41">
        <f>REGISTRO_B.DATOS!H849</f>
        <v>0</v>
      </c>
      <c r="I848" s="41">
        <f>REGISTRO_B.DATOS!I849</f>
        <v>0</v>
      </c>
      <c r="J848" s="41">
        <f>REGISTRO_B.DATOS!J849</f>
        <v>0</v>
      </c>
      <c r="K848" s="43">
        <f>REGISTRO_B.DATOS!K849</f>
        <v>0</v>
      </c>
    </row>
    <row r="849" spans="1:11" x14ac:dyDescent="0.25">
      <c r="A849" s="40">
        <f>REGISTRO_B.DATOS!A850</f>
        <v>0</v>
      </c>
      <c r="B849" s="41">
        <f>REGISTRO_B.DATOS!B850</f>
        <v>0</v>
      </c>
      <c r="C849" s="41">
        <f>REGISTRO_B.DATOS!C850</f>
        <v>0</v>
      </c>
      <c r="D849" s="41">
        <f>REGISTRO_B.DATOS!D850</f>
        <v>0</v>
      </c>
      <c r="E849" s="42">
        <f>REGISTRO_B.DATOS!E850</f>
        <v>0</v>
      </c>
      <c r="F849" s="41">
        <f>REGISTRO_B.DATOS!F850</f>
        <v>0</v>
      </c>
      <c r="G849" s="41">
        <f>REGISTRO_B.DATOS!G850</f>
        <v>0</v>
      </c>
      <c r="H849" s="41">
        <f>REGISTRO_B.DATOS!H850</f>
        <v>0</v>
      </c>
      <c r="I849" s="41">
        <f>REGISTRO_B.DATOS!I850</f>
        <v>0</v>
      </c>
      <c r="J849" s="41">
        <f>REGISTRO_B.DATOS!J850</f>
        <v>0</v>
      </c>
      <c r="K849" s="43">
        <f>REGISTRO_B.DATOS!K850</f>
        <v>0</v>
      </c>
    </row>
    <row r="850" spans="1:11" x14ac:dyDescent="0.25">
      <c r="A850" s="40">
        <f>REGISTRO_B.DATOS!A851</f>
        <v>0</v>
      </c>
      <c r="B850" s="41">
        <f>REGISTRO_B.DATOS!B851</f>
        <v>0</v>
      </c>
      <c r="C850" s="41">
        <f>REGISTRO_B.DATOS!C851</f>
        <v>0</v>
      </c>
      <c r="D850" s="41">
        <f>REGISTRO_B.DATOS!D851</f>
        <v>0</v>
      </c>
      <c r="E850" s="42">
        <f>REGISTRO_B.DATOS!E851</f>
        <v>0</v>
      </c>
      <c r="F850" s="41">
        <f>REGISTRO_B.DATOS!F851</f>
        <v>0</v>
      </c>
      <c r="G850" s="41">
        <f>REGISTRO_B.DATOS!G851</f>
        <v>0</v>
      </c>
      <c r="H850" s="41">
        <f>REGISTRO_B.DATOS!H851</f>
        <v>0</v>
      </c>
      <c r="I850" s="41">
        <f>REGISTRO_B.DATOS!I851</f>
        <v>0</v>
      </c>
      <c r="J850" s="41">
        <f>REGISTRO_B.DATOS!J851</f>
        <v>0</v>
      </c>
      <c r="K850" s="43">
        <f>REGISTRO_B.DATOS!K851</f>
        <v>0</v>
      </c>
    </row>
    <row r="851" spans="1:11" x14ac:dyDescent="0.25">
      <c r="A851" s="40">
        <f>REGISTRO_B.DATOS!A852</f>
        <v>0</v>
      </c>
      <c r="B851" s="41">
        <f>REGISTRO_B.DATOS!B852</f>
        <v>0</v>
      </c>
      <c r="C851" s="41">
        <f>REGISTRO_B.DATOS!C852</f>
        <v>0</v>
      </c>
      <c r="D851" s="41">
        <f>REGISTRO_B.DATOS!D852</f>
        <v>0</v>
      </c>
      <c r="E851" s="42">
        <f>REGISTRO_B.DATOS!E852</f>
        <v>0</v>
      </c>
      <c r="F851" s="41">
        <f>REGISTRO_B.DATOS!F852</f>
        <v>0</v>
      </c>
      <c r="G851" s="41">
        <f>REGISTRO_B.DATOS!G852</f>
        <v>0</v>
      </c>
      <c r="H851" s="41">
        <f>REGISTRO_B.DATOS!H852</f>
        <v>0</v>
      </c>
      <c r="I851" s="41">
        <f>REGISTRO_B.DATOS!I852</f>
        <v>0</v>
      </c>
      <c r="J851" s="41">
        <f>REGISTRO_B.DATOS!J852</f>
        <v>0</v>
      </c>
      <c r="K851" s="43">
        <f>REGISTRO_B.DATOS!K852</f>
        <v>0</v>
      </c>
    </row>
    <row r="852" spans="1:11" x14ac:dyDescent="0.25">
      <c r="A852" s="40">
        <f>REGISTRO_B.DATOS!A853</f>
        <v>0</v>
      </c>
      <c r="B852" s="41">
        <f>REGISTRO_B.DATOS!B853</f>
        <v>0</v>
      </c>
      <c r="C852" s="41">
        <f>REGISTRO_B.DATOS!C853</f>
        <v>0</v>
      </c>
      <c r="D852" s="41">
        <f>REGISTRO_B.DATOS!D853</f>
        <v>0</v>
      </c>
      <c r="E852" s="42">
        <f>REGISTRO_B.DATOS!E853</f>
        <v>0</v>
      </c>
      <c r="F852" s="41">
        <f>REGISTRO_B.DATOS!F853</f>
        <v>0</v>
      </c>
      <c r="G852" s="41">
        <f>REGISTRO_B.DATOS!G853</f>
        <v>0</v>
      </c>
      <c r="H852" s="41">
        <f>REGISTRO_B.DATOS!H853</f>
        <v>0</v>
      </c>
      <c r="I852" s="41">
        <f>REGISTRO_B.DATOS!I853</f>
        <v>0</v>
      </c>
      <c r="J852" s="41">
        <f>REGISTRO_B.DATOS!J853</f>
        <v>0</v>
      </c>
      <c r="K852" s="43">
        <f>REGISTRO_B.DATOS!K853</f>
        <v>0</v>
      </c>
    </row>
    <row r="853" spans="1:11" x14ac:dyDescent="0.25">
      <c r="A853" s="40">
        <f>REGISTRO_B.DATOS!A854</f>
        <v>0</v>
      </c>
      <c r="B853" s="41">
        <f>REGISTRO_B.DATOS!B854</f>
        <v>0</v>
      </c>
      <c r="C853" s="41">
        <f>REGISTRO_B.DATOS!C854</f>
        <v>0</v>
      </c>
      <c r="D853" s="41">
        <f>REGISTRO_B.DATOS!D854</f>
        <v>0</v>
      </c>
      <c r="E853" s="42">
        <f>REGISTRO_B.DATOS!E854</f>
        <v>0</v>
      </c>
      <c r="F853" s="41">
        <f>REGISTRO_B.DATOS!F854</f>
        <v>0</v>
      </c>
      <c r="G853" s="41">
        <f>REGISTRO_B.DATOS!G854</f>
        <v>0</v>
      </c>
      <c r="H853" s="41">
        <f>REGISTRO_B.DATOS!H854</f>
        <v>0</v>
      </c>
      <c r="I853" s="41">
        <f>REGISTRO_B.DATOS!I854</f>
        <v>0</v>
      </c>
      <c r="J853" s="41">
        <f>REGISTRO_B.DATOS!J854</f>
        <v>0</v>
      </c>
      <c r="K853" s="43">
        <f>REGISTRO_B.DATOS!K854</f>
        <v>0</v>
      </c>
    </row>
    <row r="854" spans="1:11" x14ac:dyDescent="0.25">
      <c r="A854" s="40">
        <f>REGISTRO_B.DATOS!A855</f>
        <v>0</v>
      </c>
      <c r="B854" s="41">
        <f>REGISTRO_B.DATOS!B855</f>
        <v>0</v>
      </c>
      <c r="C854" s="41">
        <f>REGISTRO_B.DATOS!C855</f>
        <v>0</v>
      </c>
      <c r="D854" s="41">
        <f>REGISTRO_B.DATOS!D855</f>
        <v>0</v>
      </c>
      <c r="E854" s="42">
        <f>REGISTRO_B.DATOS!E855</f>
        <v>0</v>
      </c>
      <c r="F854" s="41">
        <f>REGISTRO_B.DATOS!F855</f>
        <v>0</v>
      </c>
      <c r="G854" s="41">
        <f>REGISTRO_B.DATOS!G855</f>
        <v>0</v>
      </c>
      <c r="H854" s="41">
        <f>REGISTRO_B.DATOS!H855</f>
        <v>0</v>
      </c>
      <c r="I854" s="41">
        <f>REGISTRO_B.DATOS!I855</f>
        <v>0</v>
      </c>
      <c r="J854" s="41">
        <f>REGISTRO_B.DATOS!J855</f>
        <v>0</v>
      </c>
      <c r="K854" s="43">
        <f>REGISTRO_B.DATOS!K855</f>
        <v>0</v>
      </c>
    </row>
    <row r="855" spans="1:11" x14ac:dyDescent="0.25">
      <c r="A855" s="40">
        <f>REGISTRO_B.DATOS!A856</f>
        <v>0</v>
      </c>
      <c r="B855" s="41">
        <f>REGISTRO_B.DATOS!B856</f>
        <v>0</v>
      </c>
      <c r="C855" s="41">
        <f>REGISTRO_B.DATOS!C856</f>
        <v>0</v>
      </c>
      <c r="D855" s="41">
        <f>REGISTRO_B.DATOS!D856</f>
        <v>0</v>
      </c>
      <c r="E855" s="42">
        <f>REGISTRO_B.DATOS!E856</f>
        <v>0</v>
      </c>
      <c r="F855" s="41">
        <f>REGISTRO_B.DATOS!F856</f>
        <v>0</v>
      </c>
      <c r="G855" s="41">
        <f>REGISTRO_B.DATOS!G856</f>
        <v>0</v>
      </c>
      <c r="H855" s="41">
        <f>REGISTRO_B.DATOS!H856</f>
        <v>0</v>
      </c>
      <c r="I855" s="41">
        <f>REGISTRO_B.DATOS!I856</f>
        <v>0</v>
      </c>
      <c r="J855" s="41">
        <f>REGISTRO_B.DATOS!J856</f>
        <v>0</v>
      </c>
      <c r="K855" s="43">
        <f>REGISTRO_B.DATOS!K856</f>
        <v>0</v>
      </c>
    </row>
    <row r="856" spans="1:11" x14ac:dyDescent="0.25">
      <c r="A856" s="40">
        <f>REGISTRO_B.DATOS!A857</f>
        <v>0</v>
      </c>
      <c r="B856" s="41">
        <f>REGISTRO_B.DATOS!B857</f>
        <v>0</v>
      </c>
      <c r="C856" s="41">
        <f>REGISTRO_B.DATOS!C857</f>
        <v>0</v>
      </c>
      <c r="D856" s="41">
        <f>REGISTRO_B.DATOS!D857</f>
        <v>0</v>
      </c>
      <c r="E856" s="42">
        <f>REGISTRO_B.DATOS!E857</f>
        <v>0</v>
      </c>
      <c r="F856" s="41">
        <f>REGISTRO_B.DATOS!F857</f>
        <v>0</v>
      </c>
      <c r="G856" s="41">
        <f>REGISTRO_B.DATOS!G857</f>
        <v>0</v>
      </c>
      <c r="H856" s="41">
        <f>REGISTRO_B.DATOS!H857</f>
        <v>0</v>
      </c>
      <c r="I856" s="41">
        <f>REGISTRO_B.DATOS!I857</f>
        <v>0</v>
      </c>
      <c r="J856" s="41">
        <f>REGISTRO_B.DATOS!J857</f>
        <v>0</v>
      </c>
      <c r="K856" s="43">
        <f>REGISTRO_B.DATOS!K857</f>
        <v>0</v>
      </c>
    </row>
    <row r="857" spans="1:11" x14ac:dyDescent="0.25">
      <c r="A857" s="40">
        <f>REGISTRO_B.DATOS!A858</f>
        <v>0</v>
      </c>
      <c r="B857" s="41">
        <f>REGISTRO_B.DATOS!B858</f>
        <v>0</v>
      </c>
      <c r="C857" s="41">
        <f>REGISTRO_B.DATOS!C858</f>
        <v>0</v>
      </c>
      <c r="D857" s="41">
        <f>REGISTRO_B.DATOS!D858</f>
        <v>0</v>
      </c>
      <c r="E857" s="42">
        <f>REGISTRO_B.DATOS!E858</f>
        <v>0</v>
      </c>
      <c r="F857" s="41">
        <f>REGISTRO_B.DATOS!F858</f>
        <v>0</v>
      </c>
      <c r="G857" s="41">
        <f>REGISTRO_B.DATOS!G858</f>
        <v>0</v>
      </c>
      <c r="H857" s="41">
        <f>REGISTRO_B.DATOS!H858</f>
        <v>0</v>
      </c>
      <c r="I857" s="41">
        <f>REGISTRO_B.DATOS!I858</f>
        <v>0</v>
      </c>
      <c r="J857" s="41">
        <f>REGISTRO_B.DATOS!J858</f>
        <v>0</v>
      </c>
      <c r="K857" s="43">
        <f>REGISTRO_B.DATOS!K858</f>
        <v>0</v>
      </c>
    </row>
    <row r="858" spans="1:11" x14ac:dyDescent="0.25">
      <c r="A858" s="40">
        <f>REGISTRO_B.DATOS!A859</f>
        <v>0</v>
      </c>
      <c r="B858" s="41">
        <f>REGISTRO_B.DATOS!B859</f>
        <v>0</v>
      </c>
      <c r="C858" s="41">
        <f>REGISTRO_B.DATOS!C859</f>
        <v>0</v>
      </c>
      <c r="D858" s="41">
        <f>REGISTRO_B.DATOS!D859</f>
        <v>0</v>
      </c>
      <c r="E858" s="42">
        <f>REGISTRO_B.DATOS!E859</f>
        <v>0</v>
      </c>
      <c r="F858" s="41">
        <f>REGISTRO_B.DATOS!F859</f>
        <v>0</v>
      </c>
      <c r="G858" s="41">
        <f>REGISTRO_B.DATOS!G859</f>
        <v>0</v>
      </c>
      <c r="H858" s="41">
        <f>REGISTRO_B.DATOS!H859</f>
        <v>0</v>
      </c>
      <c r="I858" s="41">
        <f>REGISTRO_B.DATOS!I859</f>
        <v>0</v>
      </c>
      <c r="J858" s="41">
        <f>REGISTRO_B.DATOS!J859</f>
        <v>0</v>
      </c>
      <c r="K858" s="43">
        <f>REGISTRO_B.DATOS!K859</f>
        <v>0</v>
      </c>
    </row>
    <row r="859" spans="1:11" x14ac:dyDescent="0.25">
      <c r="A859" s="40">
        <f>REGISTRO_B.DATOS!A860</f>
        <v>0</v>
      </c>
      <c r="B859" s="41">
        <f>REGISTRO_B.DATOS!B860</f>
        <v>0</v>
      </c>
      <c r="C859" s="41">
        <f>REGISTRO_B.DATOS!C860</f>
        <v>0</v>
      </c>
      <c r="D859" s="41">
        <f>REGISTRO_B.DATOS!D860</f>
        <v>0</v>
      </c>
      <c r="E859" s="42">
        <f>REGISTRO_B.DATOS!E860</f>
        <v>0</v>
      </c>
      <c r="F859" s="41">
        <f>REGISTRO_B.DATOS!F860</f>
        <v>0</v>
      </c>
      <c r="G859" s="41">
        <f>REGISTRO_B.DATOS!G860</f>
        <v>0</v>
      </c>
      <c r="H859" s="41">
        <f>REGISTRO_B.DATOS!H860</f>
        <v>0</v>
      </c>
      <c r="I859" s="41">
        <f>REGISTRO_B.DATOS!I860</f>
        <v>0</v>
      </c>
      <c r="J859" s="41">
        <f>REGISTRO_B.DATOS!J860</f>
        <v>0</v>
      </c>
      <c r="K859" s="43">
        <f>REGISTRO_B.DATOS!K860</f>
        <v>0</v>
      </c>
    </row>
    <row r="860" spans="1:11" x14ac:dyDescent="0.25">
      <c r="A860" s="40">
        <f>REGISTRO_B.DATOS!A861</f>
        <v>0</v>
      </c>
      <c r="B860" s="41">
        <f>REGISTRO_B.DATOS!B861</f>
        <v>0</v>
      </c>
      <c r="C860" s="41">
        <f>REGISTRO_B.DATOS!C861</f>
        <v>0</v>
      </c>
      <c r="D860" s="41">
        <f>REGISTRO_B.DATOS!D861</f>
        <v>0</v>
      </c>
      <c r="E860" s="42">
        <f>REGISTRO_B.DATOS!E861</f>
        <v>0</v>
      </c>
      <c r="F860" s="41">
        <f>REGISTRO_B.DATOS!F861</f>
        <v>0</v>
      </c>
      <c r="G860" s="41">
        <f>REGISTRO_B.DATOS!G861</f>
        <v>0</v>
      </c>
      <c r="H860" s="41">
        <f>REGISTRO_B.DATOS!H861</f>
        <v>0</v>
      </c>
      <c r="I860" s="41">
        <f>REGISTRO_B.DATOS!I861</f>
        <v>0</v>
      </c>
      <c r="J860" s="41">
        <f>REGISTRO_B.DATOS!J861</f>
        <v>0</v>
      </c>
      <c r="K860" s="43">
        <f>REGISTRO_B.DATOS!K861</f>
        <v>0</v>
      </c>
    </row>
    <row r="861" spans="1:11" x14ac:dyDescent="0.25">
      <c r="A861" s="40">
        <f>REGISTRO_B.DATOS!A862</f>
        <v>0</v>
      </c>
      <c r="B861" s="41">
        <f>REGISTRO_B.DATOS!B862</f>
        <v>0</v>
      </c>
      <c r="C861" s="41">
        <f>REGISTRO_B.DATOS!C862</f>
        <v>0</v>
      </c>
      <c r="D861" s="41">
        <f>REGISTRO_B.DATOS!D862</f>
        <v>0</v>
      </c>
      <c r="E861" s="42">
        <f>REGISTRO_B.DATOS!E862</f>
        <v>0</v>
      </c>
      <c r="F861" s="41">
        <f>REGISTRO_B.DATOS!F862</f>
        <v>0</v>
      </c>
      <c r="G861" s="41">
        <f>REGISTRO_B.DATOS!G862</f>
        <v>0</v>
      </c>
      <c r="H861" s="41">
        <f>REGISTRO_B.DATOS!H862</f>
        <v>0</v>
      </c>
      <c r="I861" s="41">
        <f>REGISTRO_B.DATOS!I862</f>
        <v>0</v>
      </c>
      <c r="J861" s="41">
        <f>REGISTRO_B.DATOS!J862</f>
        <v>0</v>
      </c>
      <c r="K861" s="43">
        <f>REGISTRO_B.DATOS!K862</f>
        <v>0</v>
      </c>
    </row>
    <row r="862" spans="1:11" x14ac:dyDescent="0.25">
      <c r="A862" s="40">
        <f>REGISTRO_B.DATOS!A863</f>
        <v>0</v>
      </c>
      <c r="B862" s="41">
        <f>REGISTRO_B.DATOS!B863</f>
        <v>0</v>
      </c>
      <c r="C862" s="41">
        <f>REGISTRO_B.DATOS!C863</f>
        <v>0</v>
      </c>
      <c r="D862" s="41">
        <f>REGISTRO_B.DATOS!D863</f>
        <v>0</v>
      </c>
      <c r="E862" s="42">
        <f>REGISTRO_B.DATOS!E863</f>
        <v>0</v>
      </c>
      <c r="F862" s="41">
        <f>REGISTRO_B.DATOS!F863</f>
        <v>0</v>
      </c>
      <c r="G862" s="41">
        <f>REGISTRO_B.DATOS!G863</f>
        <v>0</v>
      </c>
      <c r="H862" s="41">
        <f>REGISTRO_B.DATOS!H863</f>
        <v>0</v>
      </c>
      <c r="I862" s="41">
        <f>REGISTRO_B.DATOS!I863</f>
        <v>0</v>
      </c>
      <c r="J862" s="41">
        <f>REGISTRO_B.DATOS!J863</f>
        <v>0</v>
      </c>
      <c r="K862" s="43">
        <f>REGISTRO_B.DATOS!K863</f>
        <v>0</v>
      </c>
    </row>
    <row r="863" spans="1:11" x14ac:dyDescent="0.25">
      <c r="A863" s="40">
        <f>REGISTRO_B.DATOS!A864</f>
        <v>0</v>
      </c>
      <c r="B863" s="41">
        <f>REGISTRO_B.DATOS!B864</f>
        <v>0</v>
      </c>
      <c r="C863" s="41">
        <f>REGISTRO_B.DATOS!C864</f>
        <v>0</v>
      </c>
      <c r="D863" s="41">
        <f>REGISTRO_B.DATOS!D864</f>
        <v>0</v>
      </c>
      <c r="E863" s="42">
        <f>REGISTRO_B.DATOS!E864</f>
        <v>0</v>
      </c>
      <c r="F863" s="41">
        <f>REGISTRO_B.DATOS!F864</f>
        <v>0</v>
      </c>
      <c r="G863" s="41">
        <f>REGISTRO_B.DATOS!G864</f>
        <v>0</v>
      </c>
      <c r="H863" s="41">
        <f>REGISTRO_B.DATOS!H864</f>
        <v>0</v>
      </c>
      <c r="I863" s="41">
        <f>REGISTRO_B.DATOS!I864</f>
        <v>0</v>
      </c>
      <c r="J863" s="41">
        <f>REGISTRO_B.DATOS!J864</f>
        <v>0</v>
      </c>
      <c r="K863" s="43">
        <f>REGISTRO_B.DATOS!K864</f>
        <v>0</v>
      </c>
    </row>
    <row r="864" spans="1:11" x14ac:dyDescent="0.25">
      <c r="A864" s="40">
        <f>REGISTRO_B.DATOS!A865</f>
        <v>0</v>
      </c>
      <c r="B864" s="41">
        <f>REGISTRO_B.DATOS!B865</f>
        <v>0</v>
      </c>
      <c r="C864" s="41">
        <f>REGISTRO_B.DATOS!C865</f>
        <v>0</v>
      </c>
      <c r="D864" s="41">
        <f>REGISTRO_B.DATOS!D865</f>
        <v>0</v>
      </c>
      <c r="E864" s="42">
        <f>REGISTRO_B.DATOS!E865</f>
        <v>0</v>
      </c>
      <c r="F864" s="41">
        <f>REGISTRO_B.DATOS!F865</f>
        <v>0</v>
      </c>
      <c r="G864" s="41">
        <f>REGISTRO_B.DATOS!G865</f>
        <v>0</v>
      </c>
      <c r="H864" s="41">
        <f>REGISTRO_B.DATOS!H865</f>
        <v>0</v>
      </c>
      <c r="I864" s="41">
        <f>REGISTRO_B.DATOS!I865</f>
        <v>0</v>
      </c>
      <c r="J864" s="41">
        <f>REGISTRO_B.DATOS!J865</f>
        <v>0</v>
      </c>
      <c r="K864" s="43">
        <f>REGISTRO_B.DATOS!K865</f>
        <v>0</v>
      </c>
    </row>
    <row r="865" spans="1:11" x14ac:dyDescent="0.25">
      <c r="A865" s="40">
        <f>REGISTRO_B.DATOS!A866</f>
        <v>0</v>
      </c>
      <c r="B865" s="41">
        <f>REGISTRO_B.DATOS!B866</f>
        <v>0</v>
      </c>
      <c r="C865" s="41">
        <f>REGISTRO_B.DATOS!C866</f>
        <v>0</v>
      </c>
      <c r="D865" s="41">
        <f>REGISTRO_B.DATOS!D866</f>
        <v>0</v>
      </c>
      <c r="E865" s="42">
        <f>REGISTRO_B.DATOS!E866</f>
        <v>0</v>
      </c>
      <c r="F865" s="41">
        <f>REGISTRO_B.DATOS!F866</f>
        <v>0</v>
      </c>
      <c r="G865" s="41">
        <f>REGISTRO_B.DATOS!G866</f>
        <v>0</v>
      </c>
      <c r="H865" s="41">
        <f>REGISTRO_B.DATOS!H866</f>
        <v>0</v>
      </c>
      <c r="I865" s="41">
        <f>REGISTRO_B.DATOS!I866</f>
        <v>0</v>
      </c>
      <c r="J865" s="41">
        <f>REGISTRO_B.DATOS!J866</f>
        <v>0</v>
      </c>
      <c r="K865" s="43">
        <f>REGISTRO_B.DATOS!K866</f>
        <v>0</v>
      </c>
    </row>
    <row r="866" spans="1:11" x14ac:dyDescent="0.25">
      <c r="A866" s="40">
        <f>REGISTRO_B.DATOS!A867</f>
        <v>0</v>
      </c>
      <c r="B866" s="41">
        <f>REGISTRO_B.DATOS!B867</f>
        <v>0</v>
      </c>
      <c r="C866" s="41">
        <f>REGISTRO_B.DATOS!C867</f>
        <v>0</v>
      </c>
      <c r="D866" s="41">
        <f>REGISTRO_B.DATOS!D867</f>
        <v>0</v>
      </c>
      <c r="E866" s="42">
        <f>REGISTRO_B.DATOS!E867</f>
        <v>0</v>
      </c>
      <c r="F866" s="41">
        <f>REGISTRO_B.DATOS!F867</f>
        <v>0</v>
      </c>
      <c r="G866" s="41">
        <f>REGISTRO_B.DATOS!G867</f>
        <v>0</v>
      </c>
      <c r="H866" s="41">
        <f>REGISTRO_B.DATOS!H867</f>
        <v>0</v>
      </c>
      <c r="I866" s="41">
        <f>REGISTRO_B.DATOS!I867</f>
        <v>0</v>
      </c>
      <c r="J866" s="41">
        <f>REGISTRO_B.DATOS!J867</f>
        <v>0</v>
      </c>
      <c r="K866" s="43">
        <f>REGISTRO_B.DATOS!K867</f>
        <v>0</v>
      </c>
    </row>
    <row r="867" spans="1:11" x14ac:dyDescent="0.25">
      <c r="A867" s="40">
        <f>REGISTRO_B.DATOS!A868</f>
        <v>0</v>
      </c>
      <c r="B867" s="41">
        <f>REGISTRO_B.DATOS!B868</f>
        <v>0</v>
      </c>
      <c r="C867" s="41">
        <f>REGISTRO_B.DATOS!C868</f>
        <v>0</v>
      </c>
      <c r="D867" s="41">
        <f>REGISTRO_B.DATOS!D868</f>
        <v>0</v>
      </c>
      <c r="E867" s="42">
        <f>REGISTRO_B.DATOS!E868</f>
        <v>0</v>
      </c>
      <c r="F867" s="41">
        <f>REGISTRO_B.DATOS!F868</f>
        <v>0</v>
      </c>
      <c r="G867" s="41">
        <f>REGISTRO_B.DATOS!G868</f>
        <v>0</v>
      </c>
      <c r="H867" s="41">
        <f>REGISTRO_B.DATOS!H868</f>
        <v>0</v>
      </c>
      <c r="I867" s="41">
        <f>REGISTRO_B.DATOS!I868</f>
        <v>0</v>
      </c>
      <c r="J867" s="41">
        <f>REGISTRO_B.DATOS!J868</f>
        <v>0</v>
      </c>
      <c r="K867" s="43">
        <f>REGISTRO_B.DATOS!K868</f>
        <v>0</v>
      </c>
    </row>
    <row r="868" spans="1:11" x14ac:dyDescent="0.25">
      <c r="A868" s="40">
        <f>REGISTRO_B.DATOS!A869</f>
        <v>0</v>
      </c>
      <c r="B868" s="41">
        <f>REGISTRO_B.DATOS!B869</f>
        <v>0</v>
      </c>
      <c r="C868" s="41">
        <f>REGISTRO_B.DATOS!C869</f>
        <v>0</v>
      </c>
      <c r="D868" s="41">
        <f>REGISTRO_B.DATOS!D869</f>
        <v>0</v>
      </c>
      <c r="E868" s="42">
        <f>REGISTRO_B.DATOS!E869</f>
        <v>0</v>
      </c>
      <c r="F868" s="41">
        <f>REGISTRO_B.DATOS!F869</f>
        <v>0</v>
      </c>
      <c r="G868" s="41">
        <f>REGISTRO_B.DATOS!G869</f>
        <v>0</v>
      </c>
      <c r="H868" s="41">
        <f>REGISTRO_B.DATOS!H869</f>
        <v>0</v>
      </c>
      <c r="I868" s="41">
        <f>REGISTRO_B.DATOS!I869</f>
        <v>0</v>
      </c>
      <c r="J868" s="41">
        <f>REGISTRO_B.DATOS!J869</f>
        <v>0</v>
      </c>
      <c r="K868" s="43">
        <f>REGISTRO_B.DATOS!K869</f>
        <v>0</v>
      </c>
    </row>
    <row r="869" spans="1:11" x14ac:dyDescent="0.25">
      <c r="A869" s="40">
        <f>REGISTRO_B.DATOS!A870</f>
        <v>0</v>
      </c>
      <c r="B869" s="41">
        <f>REGISTRO_B.DATOS!B870</f>
        <v>0</v>
      </c>
      <c r="C869" s="41">
        <f>REGISTRO_B.DATOS!C870</f>
        <v>0</v>
      </c>
      <c r="D869" s="41">
        <f>REGISTRO_B.DATOS!D870</f>
        <v>0</v>
      </c>
      <c r="E869" s="42">
        <f>REGISTRO_B.DATOS!E870</f>
        <v>0</v>
      </c>
      <c r="F869" s="41">
        <f>REGISTRO_B.DATOS!F870</f>
        <v>0</v>
      </c>
      <c r="G869" s="41">
        <f>REGISTRO_B.DATOS!G870</f>
        <v>0</v>
      </c>
      <c r="H869" s="41">
        <f>REGISTRO_B.DATOS!H870</f>
        <v>0</v>
      </c>
      <c r="I869" s="41">
        <f>REGISTRO_B.DATOS!I870</f>
        <v>0</v>
      </c>
      <c r="J869" s="41">
        <f>REGISTRO_B.DATOS!J870</f>
        <v>0</v>
      </c>
      <c r="K869" s="43">
        <f>REGISTRO_B.DATOS!K870</f>
        <v>0</v>
      </c>
    </row>
    <row r="870" spans="1:11" x14ac:dyDescent="0.25">
      <c r="A870" s="40">
        <f>REGISTRO_B.DATOS!A871</f>
        <v>0</v>
      </c>
      <c r="B870" s="41">
        <f>REGISTRO_B.DATOS!B871</f>
        <v>0</v>
      </c>
      <c r="C870" s="41">
        <f>REGISTRO_B.DATOS!C871</f>
        <v>0</v>
      </c>
      <c r="D870" s="41">
        <f>REGISTRO_B.DATOS!D871</f>
        <v>0</v>
      </c>
      <c r="E870" s="42">
        <f>REGISTRO_B.DATOS!E871</f>
        <v>0</v>
      </c>
      <c r="F870" s="41">
        <f>REGISTRO_B.DATOS!F871</f>
        <v>0</v>
      </c>
      <c r="G870" s="41">
        <f>REGISTRO_B.DATOS!G871</f>
        <v>0</v>
      </c>
      <c r="H870" s="41">
        <f>REGISTRO_B.DATOS!H871</f>
        <v>0</v>
      </c>
      <c r="I870" s="41">
        <f>REGISTRO_B.DATOS!I871</f>
        <v>0</v>
      </c>
      <c r="J870" s="41">
        <f>REGISTRO_B.DATOS!J871</f>
        <v>0</v>
      </c>
      <c r="K870" s="43">
        <f>REGISTRO_B.DATOS!K871</f>
        <v>0</v>
      </c>
    </row>
    <row r="871" spans="1:11" x14ac:dyDescent="0.25">
      <c r="A871" s="40">
        <f>REGISTRO_B.DATOS!A872</f>
        <v>0</v>
      </c>
      <c r="B871" s="41">
        <f>REGISTRO_B.DATOS!B872</f>
        <v>0</v>
      </c>
      <c r="C871" s="41">
        <f>REGISTRO_B.DATOS!C872</f>
        <v>0</v>
      </c>
      <c r="D871" s="41">
        <f>REGISTRO_B.DATOS!D872</f>
        <v>0</v>
      </c>
      <c r="E871" s="42">
        <f>REGISTRO_B.DATOS!E872</f>
        <v>0</v>
      </c>
      <c r="F871" s="41">
        <f>REGISTRO_B.DATOS!F872</f>
        <v>0</v>
      </c>
      <c r="G871" s="41">
        <f>REGISTRO_B.DATOS!G872</f>
        <v>0</v>
      </c>
      <c r="H871" s="41">
        <f>REGISTRO_B.DATOS!H872</f>
        <v>0</v>
      </c>
      <c r="I871" s="41">
        <f>REGISTRO_B.DATOS!I872</f>
        <v>0</v>
      </c>
      <c r="J871" s="41">
        <f>REGISTRO_B.DATOS!J872</f>
        <v>0</v>
      </c>
      <c r="K871" s="43">
        <f>REGISTRO_B.DATOS!K872</f>
        <v>0</v>
      </c>
    </row>
    <row r="872" spans="1:11" x14ac:dyDescent="0.25">
      <c r="A872" s="40">
        <f>REGISTRO_B.DATOS!A873</f>
        <v>0</v>
      </c>
      <c r="B872" s="41">
        <f>REGISTRO_B.DATOS!B873</f>
        <v>0</v>
      </c>
      <c r="C872" s="41">
        <f>REGISTRO_B.DATOS!C873</f>
        <v>0</v>
      </c>
      <c r="D872" s="41">
        <f>REGISTRO_B.DATOS!D873</f>
        <v>0</v>
      </c>
      <c r="E872" s="42">
        <f>REGISTRO_B.DATOS!E873</f>
        <v>0</v>
      </c>
      <c r="F872" s="41">
        <f>REGISTRO_B.DATOS!F873</f>
        <v>0</v>
      </c>
      <c r="G872" s="41">
        <f>REGISTRO_B.DATOS!G873</f>
        <v>0</v>
      </c>
      <c r="H872" s="41">
        <f>REGISTRO_B.DATOS!H873</f>
        <v>0</v>
      </c>
      <c r="I872" s="41">
        <f>REGISTRO_B.DATOS!I873</f>
        <v>0</v>
      </c>
      <c r="J872" s="41">
        <f>REGISTRO_B.DATOS!J873</f>
        <v>0</v>
      </c>
      <c r="K872" s="43">
        <f>REGISTRO_B.DATOS!K873</f>
        <v>0</v>
      </c>
    </row>
    <row r="873" spans="1:11" x14ac:dyDescent="0.25">
      <c r="A873" s="40">
        <f>REGISTRO_B.DATOS!A874</f>
        <v>0</v>
      </c>
      <c r="B873" s="41">
        <f>REGISTRO_B.DATOS!B874</f>
        <v>0</v>
      </c>
      <c r="C873" s="41">
        <f>REGISTRO_B.DATOS!C874</f>
        <v>0</v>
      </c>
      <c r="D873" s="41">
        <f>REGISTRO_B.DATOS!D874</f>
        <v>0</v>
      </c>
      <c r="E873" s="42">
        <f>REGISTRO_B.DATOS!E874</f>
        <v>0</v>
      </c>
      <c r="F873" s="41">
        <f>REGISTRO_B.DATOS!F874</f>
        <v>0</v>
      </c>
      <c r="G873" s="41">
        <f>REGISTRO_B.DATOS!G874</f>
        <v>0</v>
      </c>
      <c r="H873" s="41">
        <f>REGISTRO_B.DATOS!H874</f>
        <v>0</v>
      </c>
      <c r="I873" s="41">
        <f>REGISTRO_B.DATOS!I874</f>
        <v>0</v>
      </c>
      <c r="J873" s="41">
        <f>REGISTRO_B.DATOS!J874</f>
        <v>0</v>
      </c>
      <c r="K873" s="43">
        <f>REGISTRO_B.DATOS!K874</f>
        <v>0</v>
      </c>
    </row>
    <row r="874" spans="1:11" x14ac:dyDescent="0.25">
      <c r="A874" s="40">
        <f>REGISTRO_B.DATOS!A875</f>
        <v>0</v>
      </c>
      <c r="B874" s="41">
        <f>REGISTRO_B.DATOS!B875</f>
        <v>0</v>
      </c>
      <c r="C874" s="41">
        <f>REGISTRO_B.DATOS!C875</f>
        <v>0</v>
      </c>
      <c r="D874" s="41">
        <f>REGISTRO_B.DATOS!D875</f>
        <v>0</v>
      </c>
      <c r="E874" s="42">
        <f>REGISTRO_B.DATOS!E875</f>
        <v>0</v>
      </c>
      <c r="F874" s="41">
        <f>REGISTRO_B.DATOS!F875</f>
        <v>0</v>
      </c>
      <c r="G874" s="41">
        <f>REGISTRO_B.DATOS!G875</f>
        <v>0</v>
      </c>
      <c r="H874" s="41">
        <f>REGISTRO_B.DATOS!H875</f>
        <v>0</v>
      </c>
      <c r="I874" s="41">
        <f>REGISTRO_B.DATOS!I875</f>
        <v>0</v>
      </c>
      <c r="J874" s="41">
        <f>REGISTRO_B.DATOS!J875</f>
        <v>0</v>
      </c>
      <c r="K874" s="43">
        <f>REGISTRO_B.DATOS!K875</f>
        <v>0</v>
      </c>
    </row>
    <row r="875" spans="1:11" x14ac:dyDescent="0.25">
      <c r="A875" s="40">
        <f>REGISTRO_B.DATOS!A876</f>
        <v>0</v>
      </c>
      <c r="B875" s="41">
        <f>REGISTRO_B.DATOS!B876</f>
        <v>0</v>
      </c>
      <c r="C875" s="41">
        <f>REGISTRO_B.DATOS!C876</f>
        <v>0</v>
      </c>
      <c r="D875" s="41">
        <f>REGISTRO_B.DATOS!D876</f>
        <v>0</v>
      </c>
      <c r="E875" s="42">
        <f>REGISTRO_B.DATOS!E876</f>
        <v>0</v>
      </c>
      <c r="F875" s="41">
        <f>REGISTRO_B.DATOS!F876</f>
        <v>0</v>
      </c>
      <c r="G875" s="41">
        <f>REGISTRO_B.DATOS!G876</f>
        <v>0</v>
      </c>
      <c r="H875" s="41">
        <f>REGISTRO_B.DATOS!H876</f>
        <v>0</v>
      </c>
      <c r="I875" s="41">
        <f>REGISTRO_B.DATOS!I876</f>
        <v>0</v>
      </c>
      <c r="J875" s="41">
        <f>REGISTRO_B.DATOS!J876</f>
        <v>0</v>
      </c>
      <c r="K875" s="43">
        <f>REGISTRO_B.DATOS!K876</f>
        <v>0</v>
      </c>
    </row>
    <row r="876" spans="1:11" x14ac:dyDescent="0.25">
      <c r="A876" s="40">
        <f>REGISTRO_B.DATOS!A877</f>
        <v>0</v>
      </c>
      <c r="B876" s="41">
        <f>REGISTRO_B.DATOS!B877</f>
        <v>0</v>
      </c>
      <c r="C876" s="41">
        <f>REGISTRO_B.DATOS!C877</f>
        <v>0</v>
      </c>
      <c r="D876" s="41">
        <f>REGISTRO_B.DATOS!D877</f>
        <v>0</v>
      </c>
      <c r="E876" s="42">
        <f>REGISTRO_B.DATOS!E877</f>
        <v>0</v>
      </c>
      <c r="F876" s="41">
        <f>REGISTRO_B.DATOS!F877</f>
        <v>0</v>
      </c>
      <c r="G876" s="41">
        <f>REGISTRO_B.DATOS!G877</f>
        <v>0</v>
      </c>
      <c r="H876" s="41">
        <f>REGISTRO_B.DATOS!H877</f>
        <v>0</v>
      </c>
      <c r="I876" s="41">
        <f>REGISTRO_B.DATOS!I877</f>
        <v>0</v>
      </c>
      <c r="J876" s="41">
        <f>REGISTRO_B.DATOS!J877</f>
        <v>0</v>
      </c>
      <c r="K876" s="43">
        <f>REGISTRO_B.DATOS!K877</f>
        <v>0</v>
      </c>
    </row>
    <row r="877" spans="1:11" x14ac:dyDescent="0.25">
      <c r="A877" s="40">
        <f>REGISTRO_B.DATOS!A878</f>
        <v>0</v>
      </c>
      <c r="B877" s="41">
        <f>REGISTRO_B.DATOS!B878</f>
        <v>0</v>
      </c>
      <c r="C877" s="41">
        <f>REGISTRO_B.DATOS!C878</f>
        <v>0</v>
      </c>
      <c r="D877" s="41">
        <f>REGISTRO_B.DATOS!D878</f>
        <v>0</v>
      </c>
      <c r="E877" s="42">
        <f>REGISTRO_B.DATOS!E878</f>
        <v>0</v>
      </c>
      <c r="F877" s="41">
        <f>REGISTRO_B.DATOS!F878</f>
        <v>0</v>
      </c>
      <c r="G877" s="41">
        <f>REGISTRO_B.DATOS!G878</f>
        <v>0</v>
      </c>
      <c r="H877" s="41">
        <f>REGISTRO_B.DATOS!H878</f>
        <v>0</v>
      </c>
      <c r="I877" s="41">
        <f>REGISTRO_B.DATOS!I878</f>
        <v>0</v>
      </c>
      <c r="J877" s="41">
        <f>REGISTRO_B.DATOS!J878</f>
        <v>0</v>
      </c>
      <c r="K877" s="43">
        <f>REGISTRO_B.DATOS!K878</f>
        <v>0</v>
      </c>
    </row>
    <row r="878" spans="1:11" x14ac:dyDescent="0.25">
      <c r="A878" s="40">
        <f>REGISTRO_B.DATOS!A879</f>
        <v>0</v>
      </c>
      <c r="B878" s="41">
        <f>REGISTRO_B.DATOS!B879</f>
        <v>0</v>
      </c>
      <c r="C878" s="41">
        <f>REGISTRO_B.DATOS!C879</f>
        <v>0</v>
      </c>
      <c r="D878" s="41">
        <f>REGISTRO_B.DATOS!D879</f>
        <v>0</v>
      </c>
      <c r="E878" s="42">
        <f>REGISTRO_B.DATOS!E879</f>
        <v>0</v>
      </c>
      <c r="F878" s="41">
        <f>REGISTRO_B.DATOS!F879</f>
        <v>0</v>
      </c>
      <c r="G878" s="41">
        <f>REGISTRO_B.DATOS!G879</f>
        <v>0</v>
      </c>
      <c r="H878" s="41">
        <f>REGISTRO_B.DATOS!H879</f>
        <v>0</v>
      </c>
      <c r="I878" s="41">
        <f>REGISTRO_B.DATOS!I879</f>
        <v>0</v>
      </c>
      <c r="J878" s="41">
        <f>REGISTRO_B.DATOS!J879</f>
        <v>0</v>
      </c>
      <c r="K878" s="43">
        <f>REGISTRO_B.DATOS!K879</f>
        <v>0</v>
      </c>
    </row>
    <row r="879" spans="1:11" x14ac:dyDescent="0.25">
      <c r="A879" s="40">
        <f>REGISTRO_B.DATOS!A880</f>
        <v>0</v>
      </c>
      <c r="B879" s="41">
        <f>REGISTRO_B.DATOS!B880</f>
        <v>0</v>
      </c>
      <c r="C879" s="41">
        <f>REGISTRO_B.DATOS!C880</f>
        <v>0</v>
      </c>
      <c r="D879" s="41">
        <f>REGISTRO_B.DATOS!D880</f>
        <v>0</v>
      </c>
      <c r="E879" s="42">
        <f>REGISTRO_B.DATOS!E880</f>
        <v>0</v>
      </c>
      <c r="F879" s="41">
        <f>REGISTRO_B.DATOS!F880</f>
        <v>0</v>
      </c>
      <c r="G879" s="41">
        <f>REGISTRO_B.DATOS!G880</f>
        <v>0</v>
      </c>
      <c r="H879" s="41">
        <f>REGISTRO_B.DATOS!H880</f>
        <v>0</v>
      </c>
      <c r="I879" s="41">
        <f>REGISTRO_B.DATOS!I880</f>
        <v>0</v>
      </c>
      <c r="J879" s="41">
        <f>REGISTRO_B.DATOS!J880</f>
        <v>0</v>
      </c>
      <c r="K879" s="43">
        <f>REGISTRO_B.DATOS!K880</f>
        <v>0</v>
      </c>
    </row>
    <row r="880" spans="1:11" x14ac:dyDescent="0.25">
      <c r="A880" s="40">
        <f>REGISTRO_B.DATOS!A881</f>
        <v>0</v>
      </c>
      <c r="B880" s="41">
        <f>REGISTRO_B.DATOS!B881</f>
        <v>0</v>
      </c>
      <c r="C880" s="41">
        <f>REGISTRO_B.DATOS!C881</f>
        <v>0</v>
      </c>
      <c r="D880" s="41">
        <f>REGISTRO_B.DATOS!D881</f>
        <v>0</v>
      </c>
      <c r="E880" s="42">
        <f>REGISTRO_B.DATOS!E881</f>
        <v>0</v>
      </c>
      <c r="F880" s="41">
        <f>REGISTRO_B.DATOS!F881</f>
        <v>0</v>
      </c>
      <c r="G880" s="41">
        <f>REGISTRO_B.DATOS!G881</f>
        <v>0</v>
      </c>
      <c r="H880" s="41">
        <f>REGISTRO_B.DATOS!H881</f>
        <v>0</v>
      </c>
      <c r="I880" s="41">
        <f>REGISTRO_B.DATOS!I881</f>
        <v>0</v>
      </c>
      <c r="J880" s="41">
        <f>REGISTRO_B.DATOS!J881</f>
        <v>0</v>
      </c>
      <c r="K880" s="43">
        <f>REGISTRO_B.DATOS!K881</f>
        <v>0</v>
      </c>
    </row>
    <row r="881" spans="1:11" x14ac:dyDescent="0.25">
      <c r="A881" s="40">
        <f>REGISTRO_B.DATOS!A882</f>
        <v>0</v>
      </c>
      <c r="B881" s="41">
        <f>REGISTRO_B.DATOS!B882</f>
        <v>0</v>
      </c>
      <c r="C881" s="41">
        <f>REGISTRO_B.DATOS!C882</f>
        <v>0</v>
      </c>
      <c r="D881" s="41">
        <f>REGISTRO_B.DATOS!D882</f>
        <v>0</v>
      </c>
      <c r="E881" s="42">
        <f>REGISTRO_B.DATOS!E882</f>
        <v>0</v>
      </c>
      <c r="F881" s="41">
        <f>REGISTRO_B.DATOS!F882</f>
        <v>0</v>
      </c>
      <c r="G881" s="41">
        <f>REGISTRO_B.DATOS!G882</f>
        <v>0</v>
      </c>
      <c r="H881" s="41">
        <f>REGISTRO_B.DATOS!H882</f>
        <v>0</v>
      </c>
      <c r="I881" s="41">
        <f>REGISTRO_B.DATOS!I882</f>
        <v>0</v>
      </c>
      <c r="J881" s="41">
        <f>REGISTRO_B.DATOS!J882</f>
        <v>0</v>
      </c>
      <c r="K881" s="43">
        <f>REGISTRO_B.DATOS!K882</f>
        <v>0</v>
      </c>
    </row>
    <row r="882" spans="1:11" x14ac:dyDescent="0.25">
      <c r="A882" s="40">
        <f>REGISTRO_B.DATOS!A883</f>
        <v>0</v>
      </c>
      <c r="B882" s="41">
        <f>REGISTRO_B.DATOS!B883</f>
        <v>0</v>
      </c>
      <c r="C882" s="41">
        <f>REGISTRO_B.DATOS!C883</f>
        <v>0</v>
      </c>
      <c r="D882" s="41">
        <f>REGISTRO_B.DATOS!D883</f>
        <v>0</v>
      </c>
      <c r="E882" s="42">
        <f>REGISTRO_B.DATOS!E883</f>
        <v>0</v>
      </c>
      <c r="F882" s="41">
        <f>REGISTRO_B.DATOS!F883</f>
        <v>0</v>
      </c>
      <c r="G882" s="41">
        <f>REGISTRO_B.DATOS!G883</f>
        <v>0</v>
      </c>
      <c r="H882" s="41">
        <f>REGISTRO_B.DATOS!H883</f>
        <v>0</v>
      </c>
      <c r="I882" s="41">
        <f>REGISTRO_B.DATOS!I883</f>
        <v>0</v>
      </c>
      <c r="J882" s="41">
        <f>REGISTRO_B.DATOS!J883</f>
        <v>0</v>
      </c>
      <c r="K882" s="43">
        <f>REGISTRO_B.DATOS!K883</f>
        <v>0</v>
      </c>
    </row>
    <row r="883" spans="1:11" x14ac:dyDescent="0.25">
      <c r="A883" s="40">
        <f>REGISTRO_B.DATOS!A884</f>
        <v>0</v>
      </c>
      <c r="B883" s="41">
        <f>REGISTRO_B.DATOS!B884</f>
        <v>0</v>
      </c>
      <c r="C883" s="41">
        <f>REGISTRO_B.DATOS!C884</f>
        <v>0</v>
      </c>
      <c r="D883" s="41">
        <f>REGISTRO_B.DATOS!D884</f>
        <v>0</v>
      </c>
      <c r="E883" s="42">
        <f>REGISTRO_B.DATOS!E884</f>
        <v>0</v>
      </c>
      <c r="F883" s="41">
        <f>REGISTRO_B.DATOS!F884</f>
        <v>0</v>
      </c>
      <c r="G883" s="41">
        <f>REGISTRO_B.DATOS!G884</f>
        <v>0</v>
      </c>
      <c r="H883" s="41">
        <f>REGISTRO_B.DATOS!H884</f>
        <v>0</v>
      </c>
      <c r="I883" s="41">
        <f>REGISTRO_B.DATOS!I884</f>
        <v>0</v>
      </c>
      <c r="J883" s="41">
        <f>REGISTRO_B.DATOS!J884</f>
        <v>0</v>
      </c>
      <c r="K883" s="43">
        <f>REGISTRO_B.DATOS!K884</f>
        <v>0</v>
      </c>
    </row>
    <row r="884" spans="1:11" x14ac:dyDescent="0.25">
      <c r="A884" s="40">
        <f>REGISTRO_B.DATOS!A885</f>
        <v>0</v>
      </c>
      <c r="B884" s="41">
        <f>REGISTRO_B.DATOS!B885</f>
        <v>0</v>
      </c>
      <c r="C884" s="41">
        <f>REGISTRO_B.DATOS!C885</f>
        <v>0</v>
      </c>
      <c r="D884" s="41">
        <f>REGISTRO_B.DATOS!D885</f>
        <v>0</v>
      </c>
      <c r="E884" s="42">
        <f>REGISTRO_B.DATOS!E885</f>
        <v>0</v>
      </c>
      <c r="F884" s="41">
        <f>REGISTRO_B.DATOS!F885</f>
        <v>0</v>
      </c>
      <c r="G884" s="41">
        <f>REGISTRO_B.DATOS!G885</f>
        <v>0</v>
      </c>
      <c r="H884" s="41">
        <f>REGISTRO_B.DATOS!H885</f>
        <v>0</v>
      </c>
      <c r="I884" s="41">
        <f>REGISTRO_B.DATOS!I885</f>
        <v>0</v>
      </c>
      <c r="J884" s="41">
        <f>REGISTRO_B.DATOS!J885</f>
        <v>0</v>
      </c>
      <c r="K884" s="43">
        <f>REGISTRO_B.DATOS!K885</f>
        <v>0</v>
      </c>
    </row>
    <row r="885" spans="1:11" x14ac:dyDescent="0.25">
      <c r="A885" s="40">
        <f>REGISTRO_B.DATOS!A886</f>
        <v>0</v>
      </c>
      <c r="B885" s="41">
        <f>REGISTRO_B.DATOS!B886</f>
        <v>0</v>
      </c>
      <c r="C885" s="41">
        <f>REGISTRO_B.DATOS!C886</f>
        <v>0</v>
      </c>
      <c r="D885" s="41">
        <f>REGISTRO_B.DATOS!D886</f>
        <v>0</v>
      </c>
      <c r="E885" s="42">
        <f>REGISTRO_B.DATOS!E886</f>
        <v>0</v>
      </c>
      <c r="F885" s="41">
        <f>REGISTRO_B.DATOS!F886</f>
        <v>0</v>
      </c>
      <c r="G885" s="41">
        <f>REGISTRO_B.DATOS!G886</f>
        <v>0</v>
      </c>
      <c r="H885" s="41">
        <f>REGISTRO_B.DATOS!H886</f>
        <v>0</v>
      </c>
      <c r="I885" s="41">
        <f>REGISTRO_B.DATOS!I886</f>
        <v>0</v>
      </c>
      <c r="J885" s="41">
        <f>REGISTRO_B.DATOS!J886</f>
        <v>0</v>
      </c>
      <c r="K885" s="43">
        <f>REGISTRO_B.DATOS!K886</f>
        <v>0</v>
      </c>
    </row>
    <row r="886" spans="1:11" x14ac:dyDescent="0.25">
      <c r="A886" s="40">
        <f>REGISTRO_B.DATOS!A887</f>
        <v>0</v>
      </c>
      <c r="B886" s="41">
        <f>REGISTRO_B.DATOS!B887</f>
        <v>0</v>
      </c>
      <c r="C886" s="41">
        <f>REGISTRO_B.DATOS!C887</f>
        <v>0</v>
      </c>
      <c r="D886" s="41">
        <f>REGISTRO_B.DATOS!D887</f>
        <v>0</v>
      </c>
      <c r="E886" s="42">
        <f>REGISTRO_B.DATOS!E887</f>
        <v>0</v>
      </c>
      <c r="F886" s="41">
        <f>REGISTRO_B.DATOS!F887</f>
        <v>0</v>
      </c>
      <c r="G886" s="41">
        <f>REGISTRO_B.DATOS!G887</f>
        <v>0</v>
      </c>
      <c r="H886" s="41">
        <f>REGISTRO_B.DATOS!H887</f>
        <v>0</v>
      </c>
      <c r="I886" s="41">
        <f>REGISTRO_B.DATOS!I887</f>
        <v>0</v>
      </c>
      <c r="J886" s="41">
        <f>REGISTRO_B.DATOS!J887</f>
        <v>0</v>
      </c>
      <c r="K886" s="43">
        <f>REGISTRO_B.DATOS!K887</f>
        <v>0</v>
      </c>
    </row>
    <row r="887" spans="1:11" x14ac:dyDescent="0.25">
      <c r="A887" s="40">
        <f>REGISTRO_B.DATOS!A888</f>
        <v>0</v>
      </c>
      <c r="B887" s="41">
        <f>REGISTRO_B.DATOS!B888</f>
        <v>0</v>
      </c>
      <c r="C887" s="41">
        <f>REGISTRO_B.DATOS!C888</f>
        <v>0</v>
      </c>
      <c r="D887" s="41">
        <f>REGISTRO_B.DATOS!D888</f>
        <v>0</v>
      </c>
      <c r="E887" s="42">
        <f>REGISTRO_B.DATOS!E888</f>
        <v>0</v>
      </c>
      <c r="F887" s="41">
        <f>REGISTRO_B.DATOS!F888</f>
        <v>0</v>
      </c>
      <c r="G887" s="41">
        <f>REGISTRO_B.DATOS!G888</f>
        <v>0</v>
      </c>
      <c r="H887" s="41">
        <f>REGISTRO_B.DATOS!H888</f>
        <v>0</v>
      </c>
      <c r="I887" s="41">
        <f>REGISTRO_B.DATOS!I888</f>
        <v>0</v>
      </c>
      <c r="J887" s="41">
        <f>REGISTRO_B.DATOS!J888</f>
        <v>0</v>
      </c>
      <c r="K887" s="43">
        <f>REGISTRO_B.DATOS!K888</f>
        <v>0</v>
      </c>
    </row>
    <row r="888" spans="1:11" x14ac:dyDescent="0.25">
      <c r="A888" s="40">
        <f>REGISTRO_B.DATOS!A889</f>
        <v>0</v>
      </c>
      <c r="B888" s="41">
        <f>REGISTRO_B.DATOS!B889</f>
        <v>0</v>
      </c>
      <c r="C888" s="41">
        <f>REGISTRO_B.DATOS!C889</f>
        <v>0</v>
      </c>
      <c r="D888" s="41">
        <f>REGISTRO_B.DATOS!D889</f>
        <v>0</v>
      </c>
      <c r="E888" s="42">
        <f>REGISTRO_B.DATOS!E889</f>
        <v>0</v>
      </c>
      <c r="F888" s="41">
        <f>REGISTRO_B.DATOS!F889</f>
        <v>0</v>
      </c>
      <c r="G888" s="41">
        <f>REGISTRO_B.DATOS!G889</f>
        <v>0</v>
      </c>
      <c r="H888" s="41">
        <f>REGISTRO_B.DATOS!H889</f>
        <v>0</v>
      </c>
      <c r="I888" s="41">
        <f>REGISTRO_B.DATOS!I889</f>
        <v>0</v>
      </c>
      <c r="J888" s="41">
        <f>REGISTRO_B.DATOS!J889</f>
        <v>0</v>
      </c>
      <c r="K888" s="43">
        <f>REGISTRO_B.DATOS!K889</f>
        <v>0</v>
      </c>
    </row>
    <row r="889" spans="1:11" x14ac:dyDescent="0.25">
      <c r="A889" s="40">
        <f>REGISTRO_B.DATOS!A890</f>
        <v>0</v>
      </c>
      <c r="B889" s="41">
        <f>REGISTRO_B.DATOS!B890</f>
        <v>0</v>
      </c>
      <c r="C889" s="41">
        <f>REGISTRO_B.DATOS!C890</f>
        <v>0</v>
      </c>
      <c r="D889" s="41">
        <f>REGISTRO_B.DATOS!D890</f>
        <v>0</v>
      </c>
      <c r="E889" s="42">
        <f>REGISTRO_B.DATOS!E890</f>
        <v>0</v>
      </c>
      <c r="F889" s="41">
        <f>REGISTRO_B.DATOS!F890</f>
        <v>0</v>
      </c>
      <c r="G889" s="41">
        <f>REGISTRO_B.DATOS!G890</f>
        <v>0</v>
      </c>
      <c r="H889" s="41">
        <f>REGISTRO_B.DATOS!H890</f>
        <v>0</v>
      </c>
      <c r="I889" s="41">
        <f>REGISTRO_B.DATOS!I890</f>
        <v>0</v>
      </c>
      <c r="J889" s="41">
        <f>REGISTRO_B.DATOS!J890</f>
        <v>0</v>
      </c>
      <c r="K889" s="43">
        <f>REGISTRO_B.DATOS!K890</f>
        <v>0</v>
      </c>
    </row>
    <row r="890" spans="1:11" x14ac:dyDescent="0.25">
      <c r="A890" s="40">
        <f>REGISTRO_B.DATOS!A891</f>
        <v>0</v>
      </c>
      <c r="B890" s="41">
        <f>REGISTRO_B.DATOS!B891</f>
        <v>0</v>
      </c>
      <c r="C890" s="41">
        <f>REGISTRO_B.DATOS!C891</f>
        <v>0</v>
      </c>
      <c r="D890" s="41">
        <f>REGISTRO_B.DATOS!D891</f>
        <v>0</v>
      </c>
      <c r="E890" s="42">
        <f>REGISTRO_B.DATOS!E891</f>
        <v>0</v>
      </c>
      <c r="F890" s="41">
        <f>REGISTRO_B.DATOS!F891</f>
        <v>0</v>
      </c>
      <c r="G890" s="41">
        <f>REGISTRO_B.DATOS!G891</f>
        <v>0</v>
      </c>
      <c r="H890" s="41">
        <f>REGISTRO_B.DATOS!H891</f>
        <v>0</v>
      </c>
      <c r="I890" s="41">
        <f>REGISTRO_B.DATOS!I891</f>
        <v>0</v>
      </c>
      <c r="J890" s="41">
        <f>REGISTRO_B.DATOS!J891</f>
        <v>0</v>
      </c>
      <c r="K890" s="43">
        <f>REGISTRO_B.DATOS!K891</f>
        <v>0</v>
      </c>
    </row>
    <row r="891" spans="1:11" x14ac:dyDescent="0.25">
      <c r="A891" s="40">
        <f>REGISTRO_B.DATOS!A892</f>
        <v>0</v>
      </c>
      <c r="B891" s="41">
        <f>REGISTRO_B.DATOS!B892</f>
        <v>0</v>
      </c>
      <c r="C891" s="41">
        <f>REGISTRO_B.DATOS!C892</f>
        <v>0</v>
      </c>
      <c r="D891" s="41">
        <f>REGISTRO_B.DATOS!D892</f>
        <v>0</v>
      </c>
      <c r="E891" s="42">
        <f>REGISTRO_B.DATOS!E892</f>
        <v>0</v>
      </c>
      <c r="F891" s="41">
        <f>REGISTRO_B.DATOS!F892</f>
        <v>0</v>
      </c>
      <c r="G891" s="41">
        <f>REGISTRO_B.DATOS!G892</f>
        <v>0</v>
      </c>
      <c r="H891" s="41">
        <f>REGISTRO_B.DATOS!H892</f>
        <v>0</v>
      </c>
      <c r="I891" s="41">
        <f>REGISTRO_B.DATOS!I892</f>
        <v>0</v>
      </c>
      <c r="J891" s="41">
        <f>REGISTRO_B.DATOS!J892</f>
        <v>0</v>
      </c>
      <c r="K891" s="43">
        <f>REGISTRO_B.DATOS!K892</f>
        <v>0</v>
      </c>
    </row>
    <row r="892" spans="1:11" x14ac:dyDescent="0.25">
      <c r="A892" s="40">
        <f>REGISTRO_B.DATOS!A893</f>
        <v>0</v>
      </c>
      <c r="B892" s="41">
        <f>REGISTRO_B.DATOS!B893</f>
        <v>0</v>
      </c>
      <c r="C892" s="41">
        <f>REGISTRO_B.DATOS!C893</f>
        <v>0</v>
      </c>
      <c r="D892" s="41">
        <f>REGISTRO_B.DATOS!D893</f>
        <v>0</v>
      </c>
      <c r="E892" s="42">
        <f>REGISTRO_B.DATOS!E893</f>
        <v>0</v>
      </c>
      <c r="F892" s="41">
        <f>REGISTRO_B.DATOS!F893</f>
        <v>0</v>
      </c>
      <c r="G892" s="41">
        <f>REGISTRO_B.DATOS!G893</f>
        <v>0</v>
      </c>
      <c r="H892" s="41">
        <f>REGISTRO_B.DATOS!H893</f>
        <v>0</v>
      </c>
      <c r="I892" s="41">
        <f>REGISTRO_B.DATOS!I893</f>
        <v>0</v>
      </c>
      <c r="J892" s="41">
        <f>REGISTRO_B.DATOS!J893</f>
        <v>0</v>
      </c>
      <c r="K892" s="43">
        <f>REGISTRO_B.DATOS!K893</f>
        <v>0</v>
      </c>
    </row>
    <row r="893" spans="1:11" x14ac:dyDescent="0.25">
      <c r="A893" s="40">
        <f>REGISTRO_B.DATOS!A894</f>
        <v>0</v>
      </c>
      <c r="B893" s="41">
        <f>REGISTRO_B.DATOS!B894</f>
        <v>0</v>
      </c>
      <c r="C893" s="41">
        <f>REGISTRO_B.DATOS!C894</f>
        <v>0</v>
      </c>
      <c r="D893" s="41">
        <f>REGISTRO_B.DATOS!D894</f>
        <v>0</v>
      </c>
      <c r="E893" s="42">
        <f>REGISTRO_B.DATOS!E894</f>
        <v>0</v>
      </c>
      <c r="F893" s="41">
        <f>REGISTRO_B.DATOS!F894</f>
        <v>0</v>
      </c>
      <c r="G893" s="41">
        <f>REGISTRO_B.DATOS!G894</f>
        <v>0</v>
      </c>
      <c r="H893" s="41">
        <f>REGISTRO_B.DATOS!H894</f>
        <v>0</v>
      </c>
      <c r="I893" s="41">
        <f>REGISTRO_B.DATOS!I894</f>
        <v>0</v>
      </c>
      <c r="J893" s="41">
        <f>REGISTRO_B.DATOS!J894</f>
        <v>0</v>
      </c>
      <c r="K893" s="43">
        <f>REGISTRO_B.DATOS!K894</f>
        <v>0</v>
      </c>
    </row>
    <row r="894" spans="1:11" x14ac:dyDescent="0.25">
      <c r="A894" s="40">
        <f>REGISTRO_B.DATOS!A895</f>
        <v>0</v>
      </c>
      <c r="B894" s="41">
        <f>REGISTRO_B.DATOS!B895</f>
        <v>0</v>
      </c>
      <c r="C894" s="41">
        <f>REGISTRO_B.DATOS!C895</f>
        <v>0</v>
      </c>
      <c r="D894" s="41">
        <f>REGISTRO_B.DATOS!D895</f>
        <v>0</v>
      </c>
      <c r="E894" s="42">
        <f>REGISTRO_B.DATOS!E895</f>
        <v>0</v>
      </c>
      <c r="F894" s="41">
        <f>REGISTRO_B.DATOS!F895</f>
        <v>0</v>
      </c>
      <c r="G894" s="41">
        <f>REGISTRO_B.DATOS!G895</f>
        <v>0</v>
      </c>
      <c r="H894" s="41">
        <f>REGISTRO_B.DATOS!H895</f>
        <v>0</v>
      </c>
      <c r="I894" s="41">
        <f>REGISTRO_B.DATOS!I895</f>
        <v>0</v>
      </c>
      <c r="J894" s="41">
        <f>REGISTRO_B.DATOS!J895</f>
        <v>0</v>
      </c>
      <c r="K894" s="43">
        <f>REGISTRO_B.DATOS!K895</f>
        <v>0</v>
      </c>
    </row>
    <row r="895" spans="1:11" x14ac:dyDescent="0.25">
      <c r="A895" s="40">
        <f>REGISTRO_B.DATOS!A896</f>
        <v>0</v>
      </c>
      <c r="B895" s="41">
        <f>REGISTRO_B.DATOS!B896</f>
        <v>0</v>
      </c>
      <c r="C895" s="41">
        <f>REGISTRO_B.DATOS!C896</f>
        <v>0</v>
      </c>
      <c r="D895" s="41">
        <f>REGISTRO_B.DATOS!D896</f>
        <v>0</v>
      </c>
      <c r="E895" s="42">
        <f>REGISTRO_B.DATOS!E896</f>
        <v>0</v>
      </c>
      <c r="F895" s="41">
        <f>REGISTRO_B.DATOS!F896</f>
        <v>0</v>
      </c>
      <c r="G895" s="41">
        <f>REGISTRO_B.DATOS!G896</f>
        <v>0</v>
      </c>
      <c r="H895" s="41">
        <f>REGISTRO_B.DATOS!H896</f>
        <v>0</v>
      </c>
      <c r="I895" s="41">
        <f>REGISTRO_B.DATOS!I896</f>
        <v>0</v>
      </c>
      <c r="J895" s="41">
        <f>REGISTRO_B.DATOS!J896</f>
        <v>0</v>
      </c>
      <c r="K895" s="43">
        <f>REGISTRO_B.DATOS!K896</f>
        <v>0</v>
      </c>
    </row>
    <row r="896" spans="1:11" x14ac:dyDescent="0.25">
      <c r="A896" s="40">
        <f>REGISTRO_B.DATOS!A897</f>
        <v>0</v>
      </c>
      <c r="B896" s="41">
        <f>REGISTRO_B.DATOS!B897</f>
        <v>0</v>
      </c>
      <c r="C896" s="41">
        <f>REGISTRO_B.DATOS!C897</f>
        <v>0</v>
      </c>
      <c r="D896" s="41">
        <f>REGISTRO_B.DATOS!D897</f>
        <v>0</v>
      </c>
      <c r="E896" s="42">
        <f>REGISTRO_B.DATOS!E897</f>
        <v>0</v>
      </c>
      <c r="F896" s="41">
        <f>REGISTRO_B.DATOS!F897</f>
        <v>0</v>
      </c>
      <c r="G896" s="41">
        <f>REGISTRO_B.DATOS!G897</f>
        <v>0</v>
      </c>
      <c r="H896" s="41">
        <f>REGISTRO_B.DATOS!H897</f>
        <v>0</v>
      </c>
      <c r="I896" s="41">
        <f>REGISTRO_B.DATOS!I897</f>
        <v>0</v>
      </c>
      <c r="J896" s="41">
        <f>REGISTRO_B.DATOS!J897</f>
        <v>0</v>
      </c>
      <c r="K896" s="43">
        <f>REGISTRO_B.DATOS!K897</f>
        <v>0</v>
      </c>
    </row>
    <row r="897" spans="1:11" x14ac:dyDescent="0.25">
      <c r="A897" s="40">
        <f>REGISTRO_B.DATOS!A898</f>
        <v>0</v>
      </c>
      <c r="B897" s="41">
        <f>REGISTRO_B.DATOS!B898</f>
        <v>0</v>
      </c>
      <c r="C897" s="41">
        <f>REGISTRO_B.DATOS!C898</f>
        <v>0</v>
      </c>
      <c r="D897" s="41">
        <f>REGISTRO_B.DATOS!D898</f>
        <v>0</v>
      </c>
      <c r="E897" s="42">
        <f>REGISTRO_B.DATOS!E898</f>
        <v>0</v>
      </c>
      <c r="F897" s="41">
        <f>REGISTRO_B.DATOS!F898</f>
        <v>0</v>
      </c>
      <c r="G897" s="41">
        <f>REGISTRO_B.DATOS!G898</f>
        <v>0</v>
      </c>
      <c r="H897" s="41">
        <f>REGISTRO_B.DATOS!H898</f>
        <v>0</v>
      </c>
      <c r="I897" s="41">
        <f>REGISTRO_B.DATOS!I898</f>
        <v>0</v>
      </c>
      <c r="J897" s="41">
        <f>REGISTRO_B.DATOS!J898</f>
        <v>0</v>
      </c>
      <c r="K897" s="43">
        <f>REGISTRO_B.DATOS!K898</f>
        <v>0</v>
      </c>
    </row>
    <row r="898" spans="1:11" x14ac:dyDescent="0.25">
      <c r="A898" s="40">
        <f>REGISTRO_B.DATOS!A899</f>
        <v>0</v>
      </c>
      <c r="B898" s="41">
        <f>REGISTRO_B.DATOS!B899</f>
        <v>0</v>
      </c>
      <c r="C898" s="41">
        <f>REGISTRO_B.DATOS!C899</f>
        <v>0</v>
      </c>
      <c r="D898" s="41">
        <f>REGISTRO_B.DATOS!D899</f>
        <v>0</v>
      </c>
      <c r="E898" s="42">
        <f>REGISTRO_B.DATOS!E899</f>
        <v>0</v>
      </c>
      <c r="F898" s="41">
        <f>REGISTRO_B.DATOS!F899</f>
        <v>0</v>
      </c>
      <c r="G898" s="41">
        <f>REGISTRO_B.DATOS!G899</f>
        <v>0</v>
      </c>
      <c r="H898" s="41">
        <f>REGISTRO_B.DATOS!H899</f>
        <v>0</v>
      </c>
      <c r="I898" s="41">
        <f>REGISTRO_B.DATOS!I899</f>
        <v>0</v>
      </c>
      <c r="J898" s="41">
        <f>REGISTRO_B.DATOS!J899</f>
        <v>0</v>
      </c>
      <c r="K898" s="43">
        <f>REGISTRO_B.DATOS!K899</f>
        <v>0</v>
      </c>
    </row>
    <row r="899" spans="1:11" x14ac:dyDescent="0.25">
      <c r="A899" s="40">
        <f>REGISTRO_B.DATOS!A900</f>
        <v>0</v>
      </c>
      <c r="B899" s="41">
        <f>REGISTRO_B.DATOS!B900</f>
        <v>0</v>
      </c>
      <c r="C899" s="41">
        <f>REGISTRO_B.DATOS!C900</f>
        <v>0</v>
      </c>
      <c r="D899" s="41">
        <f>REGISTRO_B.DATOS!D900</f>
        <v>0</v>
      </c>
      <c r="E899" s="42">
        <f>REGISTRO_B.DATOS!E900</f>
        <v>0</v>
      </c>
      <c r="F899" s="41">
        <f>REGISTRO_B.DATOS!F900</f>
        <v>0</v>
      </c>
      <c r="G899" s="41">
        <f>REGISTRO_B.DATOS!G900</f>
        <v>0</v>
      </c>
      <c r="H899" s="41">
        <f>REGISTRO_B.DATOS!H900</f>
        <v>0</v>
      </c>
      <c r="I899" s="41">
        <f>REGISTRO_B.DATOS!I900</f>
        <v>0</v>
      </c>
      <c r="J899" s="41">
        <f>REGISTRO_B.DATOS!J900</f>
        <v>0</v>
      </c>
      <c r="K899" s="43">
        <f>REGISTRO_B.DATOS!K900</f>
        <v>0</v>
      </c>
    </row>
    <row r="900" spans="1:11" x14ac:dyDescent="0.25">
      <c r="A900" s="40">
        <f>REGISTRO_B.DATOS!A901</f>
        <v>0</v>
      </c>
      <c r="B900" s="41">
        <f>REGISTRO_B.DATOS!B901</f>
        <v>0</v>
      </c>
      <c r="C900" s="41">
        <f>REGISTRO_B.DATOS!C901</f>
        <v>0</v>
      </c>
      <c r="D900" s="41">
        <f>REGISTRO_B.DATOS!D901</f>
        <v>0</v>
      </c>
      <c r="E900" s="42">
        <f>REGISTRO_B.DATOS!E901</f>
        <v>0</v>
      </c>
      <c r="F900" s="41">
        <f>REGISTRO_B.DATOS!F901</f>
        <v>0</v>
      </c>
      <c r="G900" s="41">
        <f>REGISTRO_B.DATOS!G901</f>
        <v>0</v>
      </c>
      <c r="H900" s="41">
        <f>REGISTRO_B.DATOS!H901</f>
        <v>0</v>
      </c>
      <c r="I900" s="41">
        <f>REGISTRO_B.DATOS!I901</f>
        <v>0</v>
      </c>
      <c r="J900" s="41">
        <f>REGISTRO_B.DATOS!J901</f>
        <v>0</v>
      </c>
      <c r="K900" s="43">
        <f>REGISTRO_B.DATOS!K901</f>
        <v>0</v>
      </c>
    </row>
    <row r="901" spans="1:11" x14ac:dyDescent="0.25">
      <c r="A901" s="40">
        <f>REGISTRO_B.DATOS!A902</f>
        <v>0</v>
      </c>
      <c r="B901" s="41">
        <f>REGISTRO_B.DATOS!B902</f>
        <v>0</v>
      </c>
      <c r="C901" s="41">
        <f>REGISTRO_B.DATOS!C902</f>
        <v>0</v>
      </c>
      <c r="D901" s="41">
        <f>REGISTRO_B.DATOS!D902</f>
        <v>0</v>
      </c>
      <c r="E901" s="42">
        <f>REGISTRO_B.DATOS!E902</f>
        <v>0</v>
      </c>
      <c r="F901" s="41">
        <f>REGISTRO_B.DATOS!F902</f>
        <v>0</v>
      </c>
      <c r="G901" s="41">
        <f>REGISTRO_B.DATOS!G902</f>
        <v>0</v>
      </c>
      <c r="H901" s="41">
        <f>REGISTRO_B.DATOS!H902</f>
        <v>0</v>
      </c>
      <c r="I901" s="41">
        <f>REGISTRO_B.DATOS!I902</f>
        <v>0</v>
      </c>
      <c r="J901" s="41">
        <f>REGISTRO_B.DATOS!J902</f>
        <v>0</v>
      </c>
      <c r="K901" s="43">
        <f>REGISTRO_B.DATOS!K902</f>
        <v>0</v>
      </c>
    </row>
    <row r="902" spans="1:11" x14ac:dyDescent="0.25">
      <c r="A902" s="40">
        <f>REGISTRO_B.DATOS!A903</f>
        <v>0</v>
      </c>
      <c r="B902" s="41">
        <f>REGISTRO_B.DATOS!B903</f>
        <v>0</v>
      </c>
      <c r="C902" s="41">
        <f>REGISTRO_B.DATOS!C903</f>
        <v>0</v>
      </c>
      <c r="D902" s="41">
        <f>REGISTRO_B.DATOS!D903</f>
        <v>0</v>
      </c>
      <c r="E902" s="42">
        <f>REGISTRO_B.DATOS!E903</f>
        <v>0</v>
      </c>
      <c r="F902" s="41">
        <f>REGISTRO_B.DATOS!F903</f>
        <v>0</v>
      </c>
      <c r="G902" s="41">
        <f>REGISTRO_B.DATOS!G903</f>
        <v>0</v>
      </c>
      <c r="H902" s="41">
        <f>REGISTRO_B.DATOS!H903</f>
        <v>0</v>
      </c>
      <c r="I902" s="41">
        <f>REGISTRO_B.DATOS!I903</f>
        <v>0</v>
      </c>
      <c r="J902" s="41">
        <f>REGISTRO_B.DATOS!J903</f>
        <v>0</v>
      </c>
      <c r="K902" s="43">
        <f>REGISTRO_B.DATOS!K903</f>
        <v>0</v>
      </c>
    </row>
    <row r="903" spans="1:11" x14ac:dyDescent="0.25">
      <c r="A903" s="40">
        <f>REGISTRO_B.DATOS!A904</f>
        <v>0</v>
      </c>
      <c r="B903" s="41">
        <f>REGISTRO_B.DATOS!B904</f>
        <v>0</v>
      </c>
      <c r="C903" s="41">
        <f>REGISTRO_B.DATOS!C904</f>
        <v>0</v>
      </c>
      <c r="D903" s="41">
        <f>REGISTRO_B.DATOS!D904</f>
        <v>0</v>
      </c>
      <c r="E903" s="42">
        <f>REGISTRO_B.DATOS!E904</f>
        <v>0</v>
      </c>
      <c r="F903" s="41">
        <f>REGISTRO_B.DATOS!F904</f>
        <v>0</v>
      </c>
      <c r="G903" s="41">
        <f>REGISTRO_B.DATOS!G904</f>
        <v>0</v>
      </c>
      <c r="H903" s="41">
        <f>REGISTRO_B.DATOS!H904</f>
        <v>0</v>
      </c>
      <c r="I903" s="41">
        <f>REGISTRO_B.DATOS!I904</f>
        <v>0</v>
      </c>
      <c r="J903" s="41">
        <f>REGISTRO_B.DATOS!J904</f>
        <v>0</v>
      </c>
      <c r="K903" s="43">
        <f>REGISTRO_B.DATOS!K904</f>
        <v>0</v>
      </c>
    </row>
    <row r="904" spans="1:11" x14ac:dyDescent="0.25">
      <c r="A904" s="40">
        <f>REGISTRO_B.DATOS!A905</f>
        <v>0</v>
      </c>
      <c r="B904" s="41">
        <f>REGISTRO_B.DATOS!B905</f>
        <v>0</v>
      </c>
      <c r="C904" s="41">
        <f>REGISTRO_B.DATOS!C905</f>
        <v>0</v>
      </c>
      <c r="D904" s="41">
        <f>REGISTRO_B.DATOS!D905</f>
        <v>0</v>
      </c>
      <c r="E904" s="42">
        <f>REGISTRO_B.DATOS!E905</f>
        <v>0</v>
      </c>
      <c r="F904" s="41">
        <f>REGISTRO_B.DATOS!F905</f>
        <v>0</v>
      </c>
      <c r="G904" s="41">
        <f>REGISTRO_B.DATOS!G905</f>
        <v>0</v>
      </c>
      <c r="H904" s="41">
        <f>REGISTRO_B.DATOS!H905</f>
        <v>0</v>
      </c>
      <c r="I904" s="41">
        <f>REGISTRO_B.DATOS!I905</f>
        <v>0</v>
      </c>
      <c r="J904" s="41">
        <f>REGISTRO_B.DATOS!J905</f>
        <v>0</v>
      </c>
      <c r="K904" s="43">
        <f>REGISTRO_B.DATOS!K905</f>
        <v>0</v>
      </c>
    </row>
    <row r="905" spans="1:11" x14ac:dyDescent="0.25">
      <c r="A905" s="40">
        <f>REGISTRO_B.DATOS!A906</f>
        <v>0</v>
      </c>
      <c r="B905" s="41">
        <f>REGISTRO_B.DATOS!B906</f>
        <v>0</v>
      </c>
      <c r="C905" s="41">
        <f>REGISTRO_B.DATOS!C906</f>
        <v>0</v>
      </c>
      <c r="D905" s="41">
        <f>REGISTRO_B.DATOS!D906</f>
        <v>0</v>
      </c>
      <c r="E905" s="42">
        <f>REGISTRO_B.DATOS!E906</f>
        <v>0</v>
      </c>
      <c r="F905" s="41">
        <f>REGISTRO_B.DATOS!F906</f>
        <v>0</v>
      </c>
      <c r="G905" s="41">
        <f>REGISTRO_B.DATOS!G906</f>
        <v>0</v>
      </c>
      <c r="H905" s="41">
        <f>REGISTRO_B.DATOS!H906</f>
        <v>0</v>
      </c>
      <c r="I905" s="41">
        <f>REGISTRO_B.DATOS!I906</f>
        <v>0</v>
      </c>
      <c r="J905" s="41">
        <f>REGISTRO_B.DATOS!J906</f>
        <v>0</v>
      </c>
      <c r="K905" s="43">
        <f>REGISTRO_B.DATOS!K906</f>
        <v>0</v>
      </c>
    </row>
    <row r="906" spans="1:11" x14ac:dyDescent="0.25">
      <c r="A906" s="40">
        <f>REGISTRO_B.DATOS!A907</f>
        <v>0</v>
      </c>
      <c r="B906" s="41">
        <f>REGISTRO_B.DATOS!B907</f>
        <v>0</v>
      </c>
      <c r="C906" s="41">
        <f>REGISTRO_B.DATOS!C907</f>
        <v>0</v>
      </c>
      <c r="D906" s="41">
        <f>REGISTRO_B.DATOS!D907</f>
        <v>0</v>
      </c>
      <c r="E906" s="42">
        <f>REGISTRO_B.DATOS!E907</f>
        <v>0</v>
      </c>
      <c r="F906" s="41">
        <f>REGISTRO_B.DATOS!F907</f>
        <v>0</v>
      </c>
      <c r="G906" s="41">
        <f>REGISTRO_B.DATOS!G907</f>
        <v>0</v>
      </c>
      <c r="H906" s="41">
        <f>REGISTRO_B.DATOS!H907</f>
        <v>0</v>
      </c>
      <c r="I906" s="41">
        <f>REGISTRO_B.DATOS!I907</f>
        <v>0</v>
      </c>
      <c r="J906" s="41">
        <f>REGISTRO_B.DATOS!J907</f>
        <v>0</v>
      </c>
      <c r="K906" s="43">
        <f>REGISTRO_B.DATOS!K907</f>
        <v>0</v>
      </c>
    </row>
    <row r="907" spans="1:11" x14ac:dyDescent="0.25">
      <c r="A907" s="40">
        <f>REGISTRO_B.DATOS!A908</f>
        <v>0</v>
      </c>
      <c r="B907" s="41">
        <f>REGISTRO_B.DATOS!B908</f>
        <v>0</v>
      </c>
      <c r="C907" s="41">
        <f>REGISTRO_B.DATOS!C908</f>
        <v>0</v>
      </c>
      <c r="D907" s="41">
        <f>REGISTRO_B.DATOS!D908</f>
        <v>0</v>
      </c>
      <c r="E907" s="42">
        <f>REGISTRO_B.DATOS!E908</f>
        <v>0</v>
      </c>
      <c r="F907" s="41">
        <f>REGISTRO_B.DATOS!F908</f>
        <v>0</v>
      </c>
      <c r="G907" s="41">
        <f>REGISTRO_B.DATOS!G908</f>
        <v>0</v>
      </c>
      <c r="H907" s="41">
        <f>REGISTRO_B.DATOS!H908</f>
        <v>0</v>
      </c>
      <c r="I907" s="41">
        <f>REGISTRO_B.DATOS!I908</f>
        <v>0</v>
      </c>
      <c r="J907" s="41">
        <f>REGISTRO_B.DATOS!J908</f>
        <v>0</v>
      </c>
      <c r="K907" s="43">
        <f>REGISTRO_B.DATOS!K908</f>
        <v>0</v>
      </c>
    </row>
    <row r="908" spans="1:11" x14ac:dyDescent="0.25">
      <c r="A908" s="40">
        <f>REGISTRO_B.DATOS!A909</f>
        <v>0</v>
      </c>
      <c r="B908" s="41">
        <f>REGISTRO_B.DATOS!B909</f>
        <v>0</v>
      </c>
      <c r="C908" s="41">
        <f>REGISTRO_B.DATOS!C909</f>
        <v>0</v>
      </c>
      <c r="D908" s="41">
        <f>REGISTRO_B.DATOS!D909</f>
        <v>0</v>
      </c>
      <c r="E908" s="42">
        <f>REGISTRO_B.DATOS!E909</f>
        <v>0</v>
      </c>
      <c r="F908" s="41">
        <f>REGISTRO_B.DATOS!F909</f>
        <v>0</v>
      </c>
      <c r="G908" s="41">
        <f>REGISTRO_B.DATOS!G909</f>
        <v>0</v>
      </c>
      <c r="H908" s="41">
        <f>REGISTRO_B.DATOS!H909</f>
        <v>0</v>
      </c>
      <c r="I908" s="41">
        <f>REGISTRO_B.DATOS!I909</f>
        <v>0</v>
      </c>
      <c r="J908" s="41">
        <f>REGISTRO_B.DATOS!J909</f>
        <v>0</v>
      </c>
      <c r="K908" s="43">
        <f>REGISTRO_B.DATOS!K909</f>
        <v>0</v>
      </c>
    </row>
    <row r="909" spans="1:11" x14ac:dyDescent="0.25">
      <c r="A909" s="40">
        <f>REGISTRO_B.DATOS!A910</f>
        <v>0</v>
      </c>
      <c r="B909" s="41">
        <f>REGISTRO_B.DATOS!B910</f>
        <v>0</v>
      </c>
      <c r="C909" s="41">
        <f>REGISTRO_B.DATOS!C910</f>
        <v>0</v>
      </c>
      <c r="D909" s="41">
        <f>REGISTRO_B.DATOS!D910</f>
        <v>0</v>
      </c>
      <c r="E909" s="42">
        <f>REGISTRO_B.DATOS!E910</f>
        <v>0</v>
      </c>
      <c r="F909" s="41">
        <f>REGISTRO_B.DATOS!F910</f>
        <v>0</v>
      </c>
      <c r="G909" s="41">
        <f>REGISTRO_B.DATOS!G910</f>
        <v>0</v>
      </c>
      <c r="H909" s="41">
        <f>REGISTRO_B.DATOS!H910</f>
        <v>0</v>
      </c>
      <c r="I909" s="41">
        <f>REGISTRO_B.DATOS!I910</f>
        <v>0</v>
      </c>
      <c r="J909" s="41">
        <f>REGISTRO_B.DATOS!J910</f>
        <v>0</v>
      </c>
      <c r="K909" s="43">
        <f>REGISTRO_B.DATOS!K910</f>
        <v>0</v>
      </c>
    </row>
    <row r="910" spans="1:11" x14ac:dyDescent="0.25">
      <c r="A910" s="40">
        <f>REGISTRO_B.DATOS!A911</f>
        <v>0</v>
      </c>
      <c r="B910" s="41">
        <f>REGISTRO_B.DATOS!B911</f>
        <v>0</v>
      </c>
      <c r="C910" s="41">
        <f>REGISTRO_B.DATOS!C911</f>
        <v>0</v>
      </c>
      <c r="D910" s="41">
        <f>REGISTRO_B.DATOS!D911</f>
        <v>0</v>
      </c>
      <c r="E910" s="42">
        <f>REGISTRO_B.DATOS!E911</f>
        <v>0</v>
      </c>
      <c r="F910" s="41">
        <f>REGISTRO_B.DATOS!F911</f>
        <v>0</v>
      </c>
      <c r="G910" s="41">
        <f>REGISTRO_B.DATOS!G911</f>
        <v>0</v>
      </c>
      <c r="H910" s="41">
        <f>REGISTRO_B.DATOS!H911</f>
        <v>0</v>
      </c>
      <c r="I910" s="41">
        <f>REGISTRO_B.DATOS!I911</f>
        <v>0</v>
      </c>
      <c r="J910" s="41">
        <f>REGISTRO_B.DATOS!J911</f>
        <v>0</v>
      </c>
      <c r="K910" s="43">
        <f>REGISTRO_B.DATOS!K911</f>
        <v>0</v>
      </c>
    </row>
    <row r="911" spans="1:11" x14ac:dyDescent="0.25">
      <c r="A911" s="40">
        <f>REGISTRO_B.DATOS!A912</f>
        <v>0</v>
      </c>
      <c r="B911" s="41">
        <f>REGISTRO_B.DATOS!B912</f>
        <v>0</v>
      </c>
      <c r="C911" s="41">
        <f>REGISTRO_B.DATOS!C912</f>
        <v>0</v>
      </c>
      <c r="D911" s="41">
        <f>REGISTRO_B.DATOS!D912</f>
        <v>0</v>
      </c>
      <c r="E911" s="42">
        <f>REGISTRO_B.DATOS!E912</f>
        <v>0</v>
      </c>
      <c r="F911" s="41">
        <f>REGISTRO_B.DATOS!F912</f>
        <v>0</v>
      </c>
      <c r="G911" s="41">
        <f>REGISTRO_B.DATOS!G912</f>
        <v>0</v>
      </c>
      <c r="H911" s="41">
        <f>REGISTRO_B.DATOS!H912</f>
        <v>0</v>
      </c>
      <c r="I911" s="41">
        <f>REGISTRO_B.DATOS!I912</f>
        <v>0</v>
      </c>
      <c r="J911" s="41">
        <f>REGISTRO_B.DATOS!J912</f>
        <v>0</v>
      </c>
      <c r="K911" s="43">
        <f>REGISTRO_B.DATOS!K912</f>
        <v>0</v>
      </c>
    </row>
    <row r="912" spans="1:11" x14ac:dyDescent="0.25">
      <c r="A912" s="40">
        <f>REGISTRO_B.DATOS!A913</f>
        <v>0</v>
      </c>
      <c r="B912" s="41">
        <f>REGISTRO_B.DATOS!B913</f>
        <v>0</v>
      </c>
      <c r="C912" s="41">
        <f>REGISTRO_B.DATOS!C913</f>
        <v>0</v>
      </c>
      <c r="D912" s="41">
        <f>REGISTRO_B.DATOS!D913</f>
        <v>0</v>
      </c>
      <c r="E912" s="42">
        <f>REGISTRO_B.DATOS!E913</f>
        <v>0</v>
      </c>
      <c r="F912" s="41">
        <f>REGISTRO_B.DATOS!F913</f>
        <v>0</v>
      </c>
      <c r="G912" s="41">
        <f>REGISTRO_B.DATOS!G913</f>
        <v>0</v>
      </c>
      <c r="H912" s="41">
        <f>REGISTRO_B.DATOS!H913</f>
        <v>0</v>
      </c>
      <c r="I912" s="41">
        <f>REGISTRO_B.DATOS!I913</f>
        <v>0</v>
      </c>
      <c r="J912" s="41">
        <f>REGISTRO_B.DATOS!J913</f>
        <v>0</v>
      </c>
      <c r="K912" s="43">
        <f>REGISTRO_B.DATOS!K913</f>
        <v>0</v>
      </c>
    </row>
    <row r="913" spans="1:11" x14ac:dyDescent="0.25">
      <c r="A913" s="40">
        <f>REGISTRO_B.DATOS!A914</f>
        <v>0</v>
      </c>
      <c r="B913" s="41">
        <f>REGISTRO_B.DATOS!B914</f>
        <v>0</v>
      </c>
      <c r="C913" s="41">
        <f>REGISTRO_B.DATOS!C914</f>
        <v>0</v>
      </c>
      <c r="D913" s="41">
        <f>REGISTRO_B.DATOS!D914</f>
        <v>0</v>
      </c>
      <c r="E913" s="42">
        <f>REGISTRO_B.DATOS!E914</f>
        <v>0</v>
      </c>
      <c r="F913" s="41">
        <f>REGISTRO_B.DATOS!F914</f>
        <v>0</v>
      </c>
      <c r="G913" s="41">
        <f>REGISTRO_B.DATOS!G914</f>
        <v>0</v>
      </c>
      <c r="H913" s="41">
        <f>REGISTRO_B.DATOS!H914</f>
        <v>0</v>
      </c>
      <c r="I913" s="41">
        <f>REGISTRO_B.DATOS!I914</f>
        <v>0</v>
      </c>
      <c r="J913" s="41">
        <f>REGISTRO_B.DATOS!J914</f>
        <v>0</v>
      </c>
      <c r="K913" s="43">
        <f>REGISTRO_B.DATOS!K914</f>
        <v>0</v>
      </c>
    </row>
    <row r="914" spans="1:11" x14ac:dyDescent="0.25">
      <c r="A914" s="44"/>
      <c r="B914" s="45"/>
      <c r="C914" s="45"/>
      <c r="D914" s="45"/>
      <c r="E914" s="46"/>
      <c r="F914" s="45"/>
      <c r="G914" s="45"/>
      <c r="H914" s="45"/>
      <c r="I914" s="45"/>
      <c r="J914" s="45"/>
      <c r="K914" s="47"/>
    </row>
    <row r="915" spans="1:11" x14ac:dyDescent="0.25">
      <c r="A915" s="44"/>
      <c r="B915" s="45"/>
      <c r="C915" s="45"/>
      <c r="D915" s="45"/>
      <c r="E915" s="46"/>
      <c r="F915" s="45"/>
      <c r="G915" s="45"/>
      <c r="H915" s="45"/>
      <c r="I915" s="45"/>
      <c r="J915" s="45"/>
      <c r="K915" s="47"/>
    </row>
    <row r="916" spans="1:11" x14ac:dyDescent="0.25">
      <c r="A916" s="44"/>
      <c r="B916" s="45"/>
      <c r="C916" s="45"/>
      <c r="D916" s="45"/>
      <c r="E916" s="46"/>
      <c r="F916" s="45"/>
      <c r="G916" s="45"/>
      <c r="H916" s="45"/>
      <c r="I916" s="45"/>
      <c r="J916" s="45"/>
      <c r="K916" s="47"/>
    </row>
  </sheetData>
  <sheetProtection selectLockedCells="1"/>
  <mergeCells count="8">
    <mergeCell ref="A2:B2"/>
    <mergeCell ref="C2:F2"/>
    <mergeCell ref="J2:J4"/>
    <mergeCell ref="K2:K4"/>
    <mergeCell ref="A3:B3"/>
    <mergeCell ref="C3:F3"/>
    <mergeCell ref="A4:B4"/>
    <mergeCell ref="C4:F4"/>
  </mergeCells>
  <conditionalFormatting sqref="C2:F4">
    <cfRule type="containsBlanks" dxfId="24" priority="3">
      <formula>LEN(TRIM(C2))=0</formula>
    </cfRule>
  </conditionalFormatting>
  <conditionalFormatting sqref="H2:I4">
    <cfRule type="containsBlanks" dxfId="23" priority="2">
      <formula>LEN(TRIM(H2))=0</formula>
    </cfRule>
  </conditionalFormatting>
  <conditionalFormatting sqref="A7:K913">
    <cfRule type="cellIs" dxfId="22" priority="1" operator="equal">
      <formula>0</formula>
    </cfRule>
  </conditionalFormatting>
  <pageMargins left="0.39370078740157483" right="0" top="0.59055118110236227" bottom="0" header="0" footer="0"/>
  <pageSetup paperSize="5" scale="65" orientation="landscape" horizontalDpi="4294967294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N1070"/>
  <sheetViews>
    <sheetView zoomScale="80" zoomScaleNormal="80" workbookViewId="0">
      <pane ySplit="6" topLeftCell="A7" activePane="bottomLeft" state="frozen"/>
      <selection activeCell="Y2" sqref="Y2"/>
      <selection pane="bottomLeft" activeCell="A8" sqref="A8:XFD9"/>
    </sheetView>
  </sheetViews>
  <sheetFormatPr baseColWidth="10" defaultColWidth="0" defaultRowHeight="15" x14ac:dyDescent="0.25"/>
  <cols>
    <col min="1" max="1" width="8.5703125" style="27" customWidth="1"/>
    <col min="2" max="2" width="31.28515625" style="32" customWidth="1"/>
    <col min="3" max="4" width="35.85546875" style="32" customWidth="1"/>
    <col min="5" max="5" width="36.42578125" style="33" customWidth="1"/>
    <col min="6" max="8" width="35.85546875" style="32" customWidth="1"/>
    <col min="9" max="9" width="21.5703125" style="32" customWidth="1"/>
    <col min="10" max="10" width="10.42578125" style="32" customWidth="1"/>
    <col min="11" max="11" width="11.5703125" style="9" customWidth="1"/>
    <col min="12" max="12" width="1.85546875" customWidth="1"/>
    <col min="13" max="13" width="4.42578125" hidden="1" customWidth="1"/>
    <col min="14" max="14" width="5.7109375" customWidth="1"/>
    <col min="15" max="16384" width="11.42578125" hidden="1"/>
  </cols>
  <sheetData>
    <row r="1" spans="1:13" ht="2.25" customHeight="1" x14ac:dyDescent="0.25"/>
    <row r="2" spans="1:13" ht="18.75" customHeight="1" thickBot="1" x14ac:dyDescent="0.3">
      <c r="A2" s="112" t="s">
        <v>12</v>
      </c>
      <c r="B2" s="113"/>
      <c r="C2" s="116" t="s">
        <v>38</v>
      </c>
      <c r="D2" s="116"/>
      <c r="E2" s="116"/>
      <c r="F2" s="116"/>
      <c r="G2" s="34" t="s">
        <v>16</v>
      </c>
      <c r="H2" s="35" t="s">
        <v>39</v>
      </c>
      <c r="I2" s="36"/>
      <c r="J2" s="106"/>
      <c r="K2" s="109"/>
      <c r="M2" t="s">
        <v>5</v>
      </c>
    </row>
    <row r="3" spans="1:13" ht="18.75" customHeight="1" thickBot="1" x14ac:dyDescent="0.3">
      <c r="A3" s="114" t="s">
        <v>30</v>
      </c>
      <c r="B3" s="119"/>
      <c r="C3" s="117">
        <v>71940029</v>
      </c>
      <c r="D3" s="117"/>
      <c r="E3" s="117"/>
      <c r="F3" s="117"/>
      <c r="G3" s="37" t="s">
        <v>15</v>
      </c>
      <c r="H3" s="38" t="s">
        <v>40</v>
      </c>
      <c r="I3" s="39"/>
      <c r="J3" s="107"/>
      <c r="K3" s="110"/>
      <c r="M3" t="s">
        <v>4</v>
      </c>
    </row>
    <row r="4" spans="1:13" ht="18.75" customHeight="1" thickBot="1" x14ac:dyDescent="0.3">
      <c r="A4" s="114" t="s">
        <v>13</v>
      </c>
      <c r="B4" s="115"/>
      <c r="C4" s="118" t="s">
        <v>41</v>
      </c>
      <c r="D4" s="118"/>
      <c r="E4" s="118"/>
      <c r="F4" s="118"/>
      <c r="G4" s="37" t="s">
        <v>17</v>
      </c>
      <c r="H4" s="38">
        <v>77633299</v>
      </c>
      <c r="I4" s="39"/>
      <c r="J4" s="108"/>
      <c r="K4" s="111"/>
      <c r="M4" t="s">
        <v>29</v>
      </c>
    </row>
    <row r="5" spans="1:13" ht="2.25" customHeight="1" x14ac:dyDescent="0.25">
      <c r="A5" s="28">
        <v>-1</v>
      </c>
      <c r="B5" s="29" t="s">
        <v>60</v>
      </c>
      <c r="C5" s="30" t="s">
        <v>61</v>
      </c>
      <c r="D5" s="30" t="s">
        <v>62</v>
      </c>
      <c r="E5" s="10"/>
      <c r="F5" s="30"/>
      <c r="G5" s="30"/>
      <c r="H5" s="30"/>
      <c r="I5" s="30" t="s">
        <v>63</v>
      </c>
      <c r="J5" s="29">
        <v>20</v>
      </c>
      <c r="K5" s="11" t="s">
        <v>64</v>
      </c>
    </row>
    <row r="6" spans="1:13" ht="42.75" customHeight="1" x14ac:dyDescent="0.25">
      <c r="A6" s="85" t="s">
        <v>66</v>
      </c>
      <c r="B6" s="86" t="s">
        <v>42</v>
      </c>
      <c r="C6" s="86" t="s">
        <v>54</v>
      </c>
      <c r="D6" s="86" t="s">
        <v>55</v>
      </c>
      <c r="E6" s="86" t="s">
        <v>56</v>
      </c>
      <c r="F6" s="86" t="s">
        <v>57</v>
      </c>
      <c r="G6" s="86" t="s">
        <v>58</v>
      </c>
      <c r="H6" s="86" t="s">
        <v>59</v>
      </c>
      <c r="I6" s="86" t="s">
        <v>43</v>
      </c>
      <c r="J6" s="86" t="s">
        <v>2</v>
      </c>
      <c r="K6" s="87" t="s">
        <v>3</v>
      </c>
      <c r="M6" s="8" t="s">
        <v>37</v>
      </c>
    </row>
    <row r="7" spans="1:13" s="52" customFormat="1" ht="15" customHeight="1" x14ac:dyDescent="0.2">
      <c r="A7" s="83">
        <v>1</v>
      </c>
      <c r="B7" s="61" t="s">
        <v>67</v>
      </c>
      <c r="C7" s="61" t="s">
        <v>67</v>
      </c>
      <c r="D7" s="61" t="s">
        <v>67</v>
      </c>
      <c r="E7" s="62" t="s">
        <v>67</v>
      </c>
      <c r="F7" s="61" t="s">
        <v>67</v>
      </c>
      <c r="G7" s="61"/>
      <c r="H7" s="61"/>
      <c r="I7" s="61" t="s">
        <v>67</v>
      </c>
      <c r="J7" s="61">
        <v>0</v>
      </c>
      <c r="K7" s="84" t="s">
        <v>65</v>
      </c>
    </row>
    <row r="8" spans="1:13" s="52" customFormat="1" ht="15.75" customHeight="1" x14ac:dyDescent="0.2">
      <c r="A8" s="53"/>
      <c r="B8" s="54"/>
      <c r="C8" s="54"/>
      <c r="D8" s="54"/>
      <c r="E8" s="55"/>
      <c r="F8" s="54"/>
      <c r="G8" s="54"/>
      <c r="H8" s="54"/>
      <c r="I8" s="54"/>
      <c r="J8" s="54"/>
      <c r="K8" s="56"/>
    </row>
    <row r="9" spans="1:13" s="52" customFormat="1" ht="14.25" customHeight="1" x14ac:dyDescent="0.2">
      <c r="A9" s="57"/>
      <c r="B9" s="58"/>
      <c r="C9" s="58"/>
      <c r="D9" s="58"/>
      <c r="E9" s="59"/>
      <c r="F9" s="58"/>
      <c r="G9" s="58"/>
      <c r="H9" s="58"/>
      <c r="I9" s="58"/>
      <c r="J9" s="58"/>
      <c r="K9" s="60"/>
    </row>
    <row r="10" spans="1:13" s="52" customFormat="1" ht="12" x14ac:dyDescent="0.2">
      <c r="A10" s="57"/>
      <c r="B10" s="58"/>
      <c r="C10" s="58"/>
      <c r="D10" s="58"/>
      <c r="E10" s="59"/>
      <c r="F10" s="58"/>
      <c r="G10" s="58"/>
      <c r="H10" s="58"/>
      <c r="I10" s="58"/>
      <c r="J10" s="58"/>
      <c r="K10" s="60"/>
    </row>
    <row r="11" spans="1:13" s="52" customFormat="1" ht="12" x14ac:dyDescent="0.2">
      <c r="A11" s="57"/>
      <c r="B11" s="58"/>
      <c r="C11" s="58"/>
      <c r="D11" s="58"/>
      <c r="E11" s="59"/>
      <c r="F11" s="58"/>
      <c r="G11" s="58"/>
      <c r="H11" s="58"/>
      <c r="I11" s="58"/>
      <c r="J11" s="58"/>
      <c r="K11" s="60"/>
      <c r="M11" s="52" t="s">
        <v>7</v>
      </c>
    </row>
    <row r="12" spans="1:13" s="52" customFormat="1" ht="12" x14ac:dyDescent="0.2">
      <c r="A12" s="57"/>
      <c r="B12" s="58"/>
      <c r="C12" s="58"/>
      <c r="D12" s="58"/>
      <c r="E12" s="59"/>
      <c r="F12" s="58"/>
      <c r="G12" s="58"/>
      <c r="H12" s="58"/>
      <c r="I12" s="58"/>
      <c r="J12" s="58"/>
      <c r="K12" s="60"/>
      <c r="M12" s="52" t="s">
        <v>8</v>
      </c>
    </row>
    <row r="13" spans="1:13" s="52" customFormat="1" ht="12" x14ac:dyDescent="0.2">
      <c r="A13" s="57"/>
      <c r="B13" s="58"/>
      <c r="C13" s="58"/>
      <c r="D13" s="58"/>
      <c r="E13" s="59"/>
      <c r="F13" s="58"/>
      <c r="G13" s="58"/>
      <c r="H13" s="58"/>
      <c r="I13" s="58"/>
      <c r="J13" s="58"/>
      <c r="K13" s="60"/>
      <c r="M13" s="52" t="s">
        <v>9</v>
      </c>
    </row>
    <row r="14" spans="1:13" s="52" customFormat="1" ht="12" x14ac:dyDescent="0.2">
      <c r="A14" s="57"/>
      <c r="B14" s="58"/>
      <c r="C14" s="58"/>
      <c r="D14" s="58"/>
      <c r="E14" s="59"/>
      <c r="F14" s="58"/>
      <c r="G14" s="58"/>
      <c r="H14" s="58"/>
      <c r="I14" s="58"/>
      <c r="J14" s="58"/>
      <c r="K14" s="60"/>
      <c r="M14" s="52" t="s">
        <v>10</v>
      </c>
    </row>
    <row r="15" spans="1:13" s="52" customFormat="1" ht="12" x14ac:dyDescent="0.2">
      <c r="A15" s="57"/>
      <c r="B15" s="58"/>
      <c r="C15" s="58"/>
      <c r="D15" s="58"/>
      <c r="E15" s="59"/>
      <c r="F15" s="58"/>
      <c r="G15" s="58"/>
      <c r="H15" s="58"/>
      <c r="I15" s="58"/>
      <c r="J15" s="58"/>
      <c r="K15" s="60"/>
      <c r="M15" s="52" t="s">
        <v>11</v>
      </c>
    </row>
    <row r="16" spans="1:13" s="52" customFormat="1" ht="12" x14ac:dyDescent="0.2">
      <c r="A16" s="57"/>
      <c r="B16" s="58"/>
      <c r="C16" s="58"/>
      <c r="D16" s="58"/>
      <c r="E16" s="59"/>
      <c r="F16" s="58"/>
      <c r="G16" s="58"/>
      <c r="H16" s="58"/>
      <c r="I16" s="58"/>
      <c r="J16" s="58"/>
      <c r="K16" s="60"/>
    </row>
    <row r="17" spans="1:11" s="52" customFormat="1" ht="12" x14ac:dyDescent="0.2">
      <c r="A17" s="57"/>
      <c r="B17" s="58"/>
      <c r="C17" s="58"/>
      <c r="D17" s="58"/>
      <c r="E17" s="59"/>
      <c r="F17" s="58"/>
      <c r="G17" s="58"/>
      <c r="H17" s="58"/>
      <c r="I17" s="58"/>
      <c r="J17" s="58"/>
      <c r="K17" s="60"/>
    </row>
    <row r="18" spans="1:11" s="52" customFormat="1" ht="12" x14ac:dyDescent="0.2">
      <c r="A18" s="57"/>
      <c r="B18" s="58"/>
      <c r="C18" s="58"/>
      <c r="D18" s="58"/>
      <c r="E18" s="59"/>
      <c r="F18" s="58"/>
      <c r="G18" s="58"/>
      <c r="H18" s="58"/>
      <c r="I18" s="58"/>
      <c r="J18" s="58"/>
      <c r="K18" s="60"/>
    </row>
    <row r="19" spans="1:11" s="52" customFormat="1" ht="12" x14ac:dyDescent="0.2">
      <c r="A19" s="57"/>
      <c r="B19" s="58"/>
      <c r="C19" s="58"/>
      <c r="D19" s="58"/>
      <c r="E19" s="59"/>
      <c r="F19" s="58"/>
      <c r="G19" s="58"/>
      <c r="H19" s="58"/>
      <c r="I19" s="58"/>
      <c r="J19" s="58"/>
      <c r="K19" s="60"/>
    </row>
    <row r="20" spans="1:11" s="52" customFormat="1" ht="12" x14ac:dyDescent="0.2">
      <c r="A20" s="57"/>
      <c r="B20" s="58"/>
      <c r="C20" s="58"/>
      <c r="D20" s="58"/>
      <c r="E20" s="59"/>
      <c r="F20" s="58"/>
      <c r="G20" s="58"/>
      <c r="H20" s="58"/>
      <c r="I20" s="58"/>
      <c r="J20" s="58"/>
      <c r="K20" s="60"/>
    </row>
    <row r="21" spans="1:11" s="52" customFormat="1" ht="12" x14ac:dyDescent="0.2">
      <c r="A21" s="57"/>
      <c r="B21" s="58"/>
      <c r="C21" s="58"/>
      <c r="D21" s="58"/>
      <c r="E21" s="59"/>
      <c r="F21" s="58"/>
      <c r="G21" s="58"/>
      <c r="H21" s="58"/>
      <c r="I21" s="58"/>
      <c r="J21" s="58"/>
      <c r="K21" s="60"/>
    </row>
    <row r="22" spans="1:11" s="52" customFormat="1" ht="12" x14ac:dyDescent="0.2">
      <c r="A22" s="57"/>
      <c r="B22" s="58"/>
      <c r="C22" s="58"/>
      <c r="D22" s="58"/>
      <c r="E22" s="59"/>
      <c r="F22" s="58"/>
      <c r="G22" s="58"/>
      <c r="H22" s="58"/>
      <c r="I22" s="58"/>
      <c r="J22" s="58"/>
      <c r="K22" s="60"/>
    </row>
    <row r="23" spans="1:11" s="52" customFormat="1" ht="12" x14ac:dyDescent="0.2">
      <c r="A23" s="57"/>
      <c r="B23" s="58"/>
      <c r="C23" s="58"/>
      <c r="D23" s="58"/>
      <c r="E23" s="59"/>
      <c r="F23" s="58"/>
      <c r="G23" s="58"/>
      <c r="H23" s="58"/>
      <c r="I23" s="58"/>
      <c r="J23" s="58"/>
      <c r="K23" s="60"/>
    </row>
    <row r="24" spans="1:11" s="52" customFormat="1" ht="12" x14ac:dyDescent="0.2">
      <c r="A24" s="57"/>
      <c r="B24" s="58"/>
      <c r="C24" s="58"/>
      <c r="D24" s="58"/>
      <c r="E24" s="59"/>
      <c r="F24" s="58"/>
      <c r="G24" s="58"/>
      <c r="H24" s="58"/>
      <c r="I24" s="58"/>
      <c r="J24" s="58"/>
      <c r="K24" s="60"/>
    </row>
    <row r="25" spans="1:11" s="52" customFormat="1" ht="12" x14ac:dyDescent="0.2">
      <c r="A25" s="57"/>
      <c r="B25" s="58"/>
      <c r="C25" s="58"/>
      <c r="D25" s="58"/>
      <c r="E25" s="59"/>
      <c r="F25" s="58"/>
      <c r="G25" s="58"/>
      <c r="H25" s="58"/>
      <c r="I25" s="58"/>
      <c r="J25" s="58"/>
      <c r="K25" s="60"/>
    </row>
    <row r="26" spans="1:11" s="52" customFormat="1" ht="12" x14ac:dyDescent="0.2">
      <c r="A26" s="57"/>
      <c r="B26" s="58"/>
      <c r="C26" s="58"/>
      <c r="D26" s="58"/>
      <c r="E26" s="59"/>
      <c r="F26" s="58"/>
      <c r="G26" s="58"/>
      <c r="H26" s="58"/>
      <c r="I26" s="58"/>
      <c r="J26" s="58"/>
      <c r="K26" s="60"/>
    </row>
    <row r="27" spans="1:11" s="52" customFormat="1" ht="12" x14ac:dyDescent="0.2">
      <c r="A27" s="57"/>
      <c r="B27" s="58"/>
      <c r="C27" s="58"/>
      <c r="D27" s="58"/>
      <c r="E27" s="59"/>
      <c r="F27" s="58"/>
      <c r="G27" s="58"/>
      <c r="H27" s="58"/>
      <c r="I27" s="58"/>
      <c r="J27" s="58"/>
      <c r="K27" s="60"/>
    </row>
    <row r="28" spans="1:11" s="52" customFormat="1" ht="12" x14ac:dyDescent="0.2">
      <c r="A28" s="57"/>
      <c r="B28" s="58"/>
      <c r="C28" s="58"/>
      <c r="D28" s="58"/>
      <c r="E28" s="59"/>
      <c r="F28" s="58"/>
      <c r="G28" s="58"/>
      <c r="H28" s="58"/>
      <c r="I28" s="58"/>
      <c r="J28" s="58"/>
      <c r="K28" s="60"/>
    </row>
    <row r="29" spans="1:11" s="52" customFormat="1" ht="12" x14ac:dyDescent="0.2">
      <c r="A29" s="57"/>
      <c r="B29" s="58"/>
      <c r="C29" s="58"/>
      <c r="D29" s="58"/>
      <c r="E29" s="59"/>
      <c r="F29" s="58"/>
      <c r="G29" s="58"/>
      <c r="H29" s="58"/>
      <c r="I29" s="58"/>
      <c r="J29" s="58"/>
      <c r="K29" s="60"/>
    </row>
    <row r="30" spans="1:11" s="52" customFormat="1" ht="12" x14ac:dyDescent="0.2">
      <c r="A30" s="57"/>
      <c r="B30" s="58"/>
      <c r="C30" s="58"/>
      <c r="D30" s="58"/>
      <c r="E30" s="59"/>
      <c r="F30" s="58"/>
      <c r="G30" s="58"/>
      <c r="H30" s="58"/>
      <c r="I30" s="58"/>
      <c r="J30" s="58"/>
      <c r="K30" s="60"/>
    </row>
    <row r="31" spans="1:11" s="52" customFormat="1" ht="12" x14ac:dyDescent="0.2">
      <c r="A31" s="57"/>
      <c r="B31" s="58"/>
      <c r="C31" s="58"/>
      <c r="D31" s="58"/>
      <c r="E31" s="59"/>
      <c r="F31" s="58"/>
      <c r="G31" s="58"/>
      <c r="H31" s="58"/>
      <c r="I31" s="58"/>
      <c r="J31" s="58"/>
      <c r="K31" s="60"/>
    </row>
    <row r="32" spans="1:11" s="52" customFormat="1" ht="12" x14ac:dyDescent="0.2">
      <c r="A32" s="57"/>
      <c r="B32" s="58"/>
      <c r="C32" s="58"/>
      <c r="D32" s="58"/>
      <c r="E32" s="59"/>
      <c r="F32" s="58"/>
      <c r="G32" s="58"/>
      <c r="H32" s="58"/>
      <c r="I32" s="58"/>
      <c r="J32" s="58"/>
      <c r="K32" s="60"/>
    </row>
    <row r="33" spans="1:11" s="52" customFormat="1" ht="12" x14ac:dyDescent="0.2">
      <c r="A33" s="57"/>
      <c r="B33" s="58"/>
      <c r="C33" s="58"/>
      <c r="D33" s="58"/>
      <c r="E33" s="59"/>
      <c r="F33" s="58"/>
      <c r="G33" s="58"/>
      <c r="H33" s="58"/>
      <c r="I33" s="58"/>
      <c r="J33" s="58"/>
      <c r="K33" s="60"/>
    </row>
    <row r="34" spans="1:11" s="52" customFormat="1" ht="12" x14ac:dyDescent="0.2">
      <c r="A34" s="57"/>
      <c r="B34" s="58"/>
      <c r="C34" s="58"/>
      <c r="D34" s="58"/>
      <c r="E34" s="59"/>
      <c r="F34" s="58"/>
      <c r="G34" s="58"/>
      <c r="H34" s="58"/>
      <c r="I34" s="58"/>
      <c r="J34" s="58"/>
      <c r="K34" s="60"/>
    </row>
    <row r="35" spans="1:11" s="52" customFormat="1" ht="12" x14ac:dyDescent="0.2">
      <c r="A35" s="57"/>
      <c r="B35" s="58"/>
      <c r="C35" s="58"/>
      <c r="D35" s="58"/>
      <c r="E35" s="59"/>
      <c r="F35" s="58"/>
      <c r="G35" s="58"/>
      <c r="H35" s="58"/>
      <c r="I35" s="58"/>
      <c r="J35" s="58"/>
      <c r="K35" s="60"/>
    </row>
    <row r="36" spans="1:11" s="52" customFormat="1" ht="12" x14ac:dyDescent="0.2">
      <c r="A36" s="57"/>
      <c r="B36" s="58"/>
      <c r="C36" s="58"/>
      <c r="D36" s="58"/>
      <c r="E36" s="59"/>
      <c r="F36" s="58"/>
      <c r="G36" s="58"/>
      <c r="H36" s="58"/>
      <c r="I36" s="58"/>
      <c r="J36" s="58"/>
      <c r="K36" s="60"/>
    </row>
    <row r="37" spans="1:11" s="52" customFormat="1" ht="12" x14ac:dyDescent="0.2">
      <c r="A37" s="57"/>
      <c r="B37" s="58"/>
      <c r="C37" s="58"/>
      <c r="D37" s="58"/>
      <c r="E37" s="59"/>
      <c r="F37" s="58"/>
      <c r="G37" s="58"/>
      <c r="H37" s="58"/>
      <c r="I37" s="58"/>
      <c r="J37" s="58"/>
      <c r="K37" s="60"/>
    </row>
    <row r="38" spans="1:11" s="52" customFormat="1" ht="12" x14ac:dyDescent="0.2">
      <c r="A38" s="57"/>
      <c r="B38" s="58"/>
      <c r="C38" s="58"/>
      <c r="D38" s="58"/>
      <c r="E38" s="59"/>
      <c r="F38" s="58"/>
      <c r="G38" s="58"/>
      <c r="H38" s="58"/>
      <c r="I38" s="58"/>
      <c r="J38" s="58"/>
      <c r="K38" s="60"/>
    </row>
    <row r="39" spans="1:11" s="52" customFormat="1" ht="12" x14ac:dyDescent="0.2">
      <c r="A39" s="57"/>
      <c r="B39" s="58"/>
      <c r="C39" s="58"/>
      <c r="D39" s="58"/>
      <c r="E39" s="59"/>
      <c r="F39" s="58"/>
      <c r="G39" s="58"/>
      <c r="H39" s="58"/>
      <c r="I39" s="58"/>
      <c r="J39" s="58"/>
      <c r="K39" s="60"/>
    </row>
    <row r="40" spans="1:11" s="52" customFormat="1" ht="12" x14ac:dyDescent="0.2">
      <c r="A40" s="57"/>
      <c r="B40" s="58"/>
      <c r="C40" s="58"/>
      <c r="D40" s="58"/>
      <c r="E40" s="59"/>
      <c r="F40" s="58"/>
      <c r="G40" s="58"/>
      <c r="H40" s="58"/>
      <c r="I40" s="58"/>
      <c r="J40" s="58"/>
      <c r="K40" s="60"/>
    </row>
    <row r="41" spans="1:11" s="52" customFormat="1" ht="12" x14ac:dyDescent="0.2">
      <c r="A41" s="57"/>
      <c r="B41" s="58"/>
      <c r="C41" s="58"/>
      <c r="D41" s="58"/>
      <c r="E41" s="59"/>
      <c r="F41" s="58"/>
      <c r="G41" s="58"/>
      <c r="H41" s="58"/>
      <c r="I41" s="58"/>
      <c r="J41" s="58"/>
      <c r="K41" s="60"/>
    </row>
    <row r="42" spans="1:11" s="52" customFormat="1" ht="12" x14ac:dyDescent="0.2">
      <c r="A42" s="57"/>
      <c r="B42" s="58"/>
      <c r="C42" s="58"/>
      <c r="D42" s="58"/>
      <c r="E42" s="59"/>
      <c r="F42" s="58"/>
      <c r="G42" s="58"/>
      <c r="H42" s="58"/>
      <c r="I42" s="58"/>
      <c r="J42" s="58"/>
      <c r="K42" s="60"/>
    </row>
    <row r="43" spans="1:11" s="52" customFormat="1" ht="12" x14ac:dyDescent="0.2">
      <c r="A43" s="57"/>
      <c r="B43" s="58"/>
      <c r="C43" s="58"/>
      <c r="D43" s="58"/>
      <c r="E43" s="59"/>
      <c r="F43" s="58"/>
      <c r="G43" s="58"/>
      <c r="H43" s="58"/>
      <c r="I43" s="58"/>
      <c r="J43" s="58"/>
      <c r="K43" s="60"/>
    </row>
    <row r="44" spans="1:11" s="52" customFormat="1" ht="12" x14ac:dyDescent="0.2">
      <c r="A44" s="57"/>
      <c r="B44" s="58"/>
      <c r="C44" s="58"/>
      <c r="D44" s="58"/>
      <c r="E44" s="59"/>
      <c r="F44" s="58"/>
      <c r="G44" s="58"/>
      <c r="H44" s="58"/>
      <c r="I44" s="58"/>
      <c r="J44" s="58"/>
      <c r="K44" s="60"/>
    </row>
    <row r="45" spans="1:11" s="52" customFormat="1" ht="12" x14ac:dyDescent="0.2">
      <c r="A45" s="57"/>
      <c r="B45" s="58"/>
      <c r="C45" s="58"/>
      <c r="D45" s="58"/>
      <c r="E45" s="59"/>
      <c r="F45" s="58"/>
      <c r="G45" s="58"/>
      <c r="H45" s="58"/>
      <c r="I45" s="58"/>
      <c r="J45" s="58"/>
      <c r="K45" s="60"/>
    </row>
    <row r="46" spans="1:11" s="52" customFormat="1" ht="12" x14ac:dyDescent="0.2">
      <c r="A46" s="57"/>
      <c r="B46" s="58"/>
      <c r="C46" s="58"/>
      <c r="D46" s="58"/>
      <c r="E46" s="59"/>
      <c r="F46" s="58"/>
      <c r="G46" s="58"/>
      <c r="H46" s="58"/>
      <c r="I46" s="58"/>
      <c r="J46" s="58"/>
      <c r="K46" s="60"/>
    </row>
    <row r="47" spans="1:11" s="52" customFormat="1" ht="12" x14ac:dyDescent="0.2">
      <c r="A47" s="57"/>
      <c r="B47" s="58"/>
      <c r="C47" s="58"/>
      <c r="D47" s="58"/>
      <c r="E47" s="59"/>
      <c r="F47" s="58"/>
      <c r="G47" s="58"/>
      <c r="H47" s="58"/>
      <c r="I47" s="58"/>
      <c r="J47" s="58"/>
      <c r="K47" s="60"/>
    </row>
    <row r="48" spans="1:11" s="52" customFormat="1" ht="12" x14ac:dyDescent="0.2">
      <c r="A48" s="57"/>
      <c r="B48" s="58"/>
      <c r="C48" s="58"/>
      <c r="D48" s="58"/>
      <c r="E48" s="59"/>
      <c r="F48" s="58"/>
      <c r="G48" s="58"/>
      <c r="H48" s="58"/>
      <c r="I48" s="58"/>
      <c r="J48" s="58"/>
      <c r="K48" s="60"/>
    </row>
    <row r="49" spans="1:11" s="52" customFormat="1" ht="12" x14ac:dyDescent="0.2">
      <c r="A49" s="57"/>
      <c r="B49" s="58"/>
      <c r="C49" s="58"/>
      <c r="D49" s="58"/>
      <c r="E49" s="59"/>
      <c r="F49" s="58"/>
      <c r="G49" s="58"/>
      <c r="H49" s="58"/>
      <c r="I49" s="58"/>
      <c r="J49" s="58"/>
      <c r="K49" s="60"/>
    </row>
    <row r="50" spans="1:11" s="52" customFormat="1" ht="12" x14ac:dyDescent="0.2">
      <c r="A50" s="57"/>
      <c r="B50" s="58"/>
      <c r="C50" s="58"/>
      <c r="D50" s="58"/>
      <c r="E50" s="59"/>
      <c r="F50" s="58"/>
      <c r="G50" s="58"/>
      <c r="H50" s="58"/>
      <c r="I50" s="58"/>
      <c r="J50" s="58"/>
      <c r="K50" s="60"/>
    </row>
    <row r="51" spans="1:11" s="52" customFormat="1" ht="12" x14ac:dyDescent="0.2">
      <c r="A51" s="57"/>
      <c r="B51" s="58"/>
      <c r="C51" s="58"/>
      <c r="D51" s="58"/>
      <c r="E51" s="59"/>
      <c r="F51" s="58"/>
      <c r="G51" s="58"/>
      <c r="H51" s="58"/>
      <c r="I51" s="58"/>
      <c r="J51" s="58"/>
      <c r="K51" s="60"/>
    </row>
    <row r="52" spans="1:11" s="52" customFormat="1" ht="12" x14ac:dyDescent="0.2">
      <c r="A52" s="57"/>
      <c r="B52" s="58"/>
      <c r="C52" s="58"/>
      <c r="D52" s="58"/>
      <c r="E52" s="59"/>
      <c r="F52" s="58"/>
      <c r="G52" s="58"/>
      <c r="H52" s="58"/>
      <c r="I52" s="58"/>
      <c r="J52" s="58"/>
      <c r="K52" s="60"/>
    </row>
    <row r="53" spans="1:11" s="52" customFormat="1" ht="12" x14ac:dyDescent="0.2">
      <c r="A53" s="57"/>
      <c r="B53" s="58"/>
      <c r="C53" s="58"/>
      <c r="D53" s="58"/>
      <c r="E53" s="59"/>
      <c r="F53" s="58"/>
      <c r="G53" s="58"/>
      <c r="H53" s="58"/>
      <c r="I53" s="58"/>
      <c r="J53" s="58"/>
      <c r="K53" s="60"/>
    </row>
    <row r="54" spans="1:11" s="52" customFormat="1" ht="12" x14ac:dyDescent="0.2">
      <c r="A54" s="57"/>
      <c r="B54" s="58"/>
      <c r="C54" s="58"/>
      <c r="D54" s="58"/>
      <c r="E54" s="59"/>
      <c r="F54" s="58"/>
      <c r="G54" s="58"/>
      <c r="H54" s="58"/>
      <c r="I54" s="58"/>
      <c r="J54" s="58"/>
      <c r="K54" s="60"/>
    </row>
    <row r="55" spans="1:11" s="52" customFormat="1" ht="12" x14ac:dyDescent="0.2">
      <c r="A55" s="57"/>
      <c r="B55" s="58"/>
      <c r="C55" s="58"/>
      <c r="D55" s="58"/>
      <c r="E55" s="59"/>
      <c r="F55" s="58"/>
      <c r="G55" s="58"/>
      <c r="H55" s="58"/>
      <c r="I55" s="58"/>
      <c r="J55" s="58"/>
      <c r="K55" s="60"/>
    </row>
    <row r="56" spans="1:11" s="52" customFormat="1" ht="12" x14ac:dyDescent="0.2">
      <c r="A56" s="57"/>
      <c r="B56" s="58"/>
      <c r="C56" s="58"/>
      <c r="D56" s="58"/>
      <c r="E56" s="59"/>
      <c r="F56" s="58"/>
      <c r="G56" s="58"/>
      <c r="H56" s="58"/>
      <c r="I56" s="58"/>
      <c r="J56" s="58"/>
      <c r="K56" s="60"/>
    </row>
    <row r="57" spans="1:11" s="52" customFormat="1" ht="12" x14ac:dyDescent="0.2">
      <c r="A57" s="57"/>
      <c r="B57" s="58"/>
      <c r="C57" s="58"/>
      <c r="D57" s="58"/>
      <c r="E57" s="59"/>
      <c r="F57" s="58"/>
      <c r="G57" s="58"/>
      <c r="H57" s="58"/>
      <c r="I57" s="58"/>
      <c r="J57" s="58"/>
      <c r="K57" s="60"/>
    </row>
    <row r="58" spans="1:11" s="52" customFormat="1" ht="12" x14ac:dyDescent="0.2">
      <c r="A58" s="57"/>
      <c r="B58" s="58"/>
      <c r="C58" s="58"/>
      <c r="D58" s="58"/>
      <c r="E58" s="59"/>
      <c r="F58" s="58"/>
      <c r="G58" s="58"/>
      <c r="H58" s="58"/>
      <c r="I58" s="58"/>
      <c r="J58" s="58"/>
      <c r="K58" s="60"/>
    </row>
    <row r="59" spans="1:11" s="52" customFormat="1" ht="12" x14ac:dyDescent="0.2">
      <c r="A59" s="57"/>
      <c r="B59" s="58"/>
      <c r="C59" s="58"/>
      <c r="D59" s="58"/>
      <c r="E59" s="59"/>
      <c r="F59" s="58"/>
      <c r="G59" s="58"/>
      <c r="H59" s="58"/>
      <c r="I59" s="58"/>
      <c r="J59" s="58"/>
      <c r="K59" s="60"/>
    </row>
    <row r="60" spans="1:11" s="52" customFormat="1" ht="12" x14ac:dyDescent="0.2">
      <c r="A60" s="57"/>
      <c r="B60" s="58"/>
      <c r="C60" s="58"/>
      <c r="D60" s="58"/>
      <c r="E60" s="59"/>
      <c r="F60" s="58"/>
      <c r="G60" s="58"/>
      <c r="H60" s="58"/>
      <c r="I60" s="58"/>
      <c r="J60" s="58"/>
      <c r="K60" s="60"/>
    </row>
    <row r="61" spans="1:11" s="52" customFormat="1" ht="12" x14ac:dyDescent="0.2">
      <c r="A61" s="57"/>
      <c r="B61" s="58"/>
      <c r="C61" s="58"/>
      <c r="D61" s="58"/>
      <c r="E61" s="59"/>
      <c r="F61" s="58"/>
      <c r="G61" s="58"/>
      <c r="H61" s="58"/>
      <c r="I61" s="58"/>
      <c r="J61" s="58"/>
      <c r="K61" s="60"/>
    </row>
    <row r="62" spans="1:11" s="52" customFormat="1" ht="12" x14ac:dyDescent="0.2">
      <c r="A62" s="57"/>
      <c r="B62" s="58"/>
      <c r="C62" s="58"/>
      <c r="D62" s="58"/>
      <c r="E62" s="59"/>
      <c r="F62" s="58"/>
      <c r="G62" s="58"/>
      <c r="H62" s="58"/>
      <c r="I62" s="58"/>
      <c r="J62" s="58"/>
      <c r="K62" s="60"/>
    </row>
    <row r="63" spans="1:11" s="52" customFormat="1" ht="12" x14ac:dyDescent="0.2">
      <c r="A63" s="57"/>
      <c r="B63" s="58"/>
      <c r="C63" s="58"/>
      <c r="D63" s="58"/>
      <c r="E63" s="59"/>
      <c r="F63" s="58"/>
      <c r="G63" s="58"/>
      <c r="H63" s="58"/>
      <c r="I63" s="58"/>
      <c r="J63" s="58"/>
      <c r="K63" s="60"/>
    </row>
    <row r="64" spans="1:11" s="52" customFormat="1" ht="12" x14ac:dyDescent="0.2">
      <c r="A64" s="57"/>
      <c r="B64" s="58"/>
      <c r="C64" s="58"/>
      <c r="D64" s="58"/>
      <c r="E64" s="59"/>
      <c r="F64" s="58"/>
      <c r="G64" s="58"/>
      <c r="H64" s="58"/>
      <c r="I64" s="58"/>
      <c r="J64" s="58"/>
      <c r="K64" s="60"/>
    </row>
    <row r="65" spans="1:11" s="52" customFormat="1" ht="12" x14ac:dyDescent="0.2">
      <c r="A65" s="57"/>
      <c r="B65" s="58"/>
      <c r="C65" s="58"/>
      <c r="D65" s="58"/>
      <c r="E65" s="59"/>
      <c r="F65" s="58"/>
      <c r="G65" s="58"/>
      <c r="H65" s="58"/>
      <c r="I65" s="58"/>
      <c r="J65" s="58"/>
      <c r="K65" s="60"/>
    </row>
    <row r="66" spans="1:11" s="52" customFormat="1" ht="12" x14ac:dyDescent="0.2">
      <c r="A66" s="57"/>
      <c r="B66" s="58"/>
      <c r="C66" s="58"/>
      <c r="D66" s="58"/>
      <c r="E66" s="59"/>
      <c r="F66" s="58"/>
      <c r="G66" s="58"/>
      <c r="H66" s="58"/>
      <c r="I66" s="58"/>
      <c r="J66" s="58"/>
      <c r="K66" s="60"/>
    </row>
    <row r="67" spans="1:11" s="52" customFormat="1" ht="12" x14ac:dyDescent="0.2">
      <c r="A67" s="57"/>
      <c r="B67" s="58"/>
      <c r="C67" s="58"/>
      <c r="D67" s="58"/>
      <c r="E67" s="59"/>
      <c r="F67" s="58"/>
      <c r="G67" s="58"/>
      <c r="H67" s="58"/>
      <c r="I67" s="58"/>
      <c r="J67" s="58"/>
      <c r="K67" s="60"/>
    </row>
    <row r="68" spans="1:11" s="52" customFormat="1" ht="12" x14ac:dyDescent="0.2">
      <c r="A68" s="57"/>
      <c r="B68" s="58"/>
      <c r="C68" s="58"/>
      <c r="D68" s="58"/>
      <c r="E68" s="59"/>
      <c r="F68" s="58"/>
      <c r="G68" s="58"/>
      <c r="H68" s="58"/>
      <c r="I68" s="58"/>
      <c r="J68" s="58"/>
      <c r="K68" s="60"/>
    </row>
    <row r="69" spans="1:11" s="52" customFormat="1" ht="12" x14ac:dyDescent="0.2">
      <c r="A69" s="57"/>
      <c r="B69" s="58"/>
      <c r="C69" s="58"/>
      <c r="D69" s="58"/>
      <c r="E69" s="59"/>
      <c r="F69" s="58"/>
      <c r="G69" s="58"/>
      <c r="H69" s="58"/>
      <c r="I69" s="58"/>
      <c r="J69" s="58"/>
      <c r="K69" s="60"/>
    </row>
    <row r="70" spans="1:11" s="52" customFormat="1" ht="12" x14ac:dyDescent="0.2">
      <c r="A70" s="57"/>
      <c r="B70" s="58"/>
      <c r="C70" s="58"/>
      <c r="D70" s="58"/>
      <c r="E70" s="59"/>
      <c r="F70" s="58"/>
      <c r="G70" s="58"/>
      <c r="H70" s="58"/>
      <c r="I70" s="58"/>
      <c r="J70" s="58"/>
      <c r="K70" s="60"/>
    </row>
    <row r="71" spans="1:11" s="52" customFormat="1" ht="12" x14ac:dyDescent="0.2">
      <c r="A71" s="57"/>
      <c r="B71" s="58"/>
      <c r="C71" s="58"/>
      <c r="D71" s="58"/>
      <c r="E71" s="59"/>
      <c r="F71" s="58"/>
      <c r="G71" s="58"/>
      <c r="H71" s="58"/>
      <c r="I71" s="58"/>
      <c r="J71" s="58"/>
      <c r="K71" s="60"/>
    </row>
    <row r="72" spans="1:11" s="52" customFormat="1" ht="12" x14ac:dyDescent="0.2">
      <c r="A72" s="57"/>
      <c r="B72" s="58"/>
      <c r="C72" s="58"/>
      <c r="D72" s="58"/>
      <c r="E72" s="59"/>
      <c r="F72" s="58"/>
      <c r="G72" s="58"/>
      <c r="H72" s="58"/>
      <c r="I72" s="58"/>
      <c r="J72" s="58"/>
      <c r="K72" s="60"/>
    </row>
    <row r="73" spans="1:11" s="52" customFormat="1" ht="12" x14ac:dyDescent="0.2">
      <c r="A73" s="57"/>
      <c r="B73" s="58"/>
      <c r="C73" s="58"/>
      <c r="D73" s="58"/>
      <c r="E73" s="59"/>
      <c r="F73" s="58"/>
      <c r="G73" s="58"/>
      <c r="H73" s="58"/>
      <c r="I73" s="58"/>
      <c r="J73" s="58"/>
      <c r="K73" s="60"/>
    </row>
    <row r="74" spans="1:11" s="52" customFormat="1" ht="12" x14ac:dyDescent="0.2">
      <c r="A74" s="57"/>
      <c r="B74" s="58"/>
      <c r="C74" s="58"/>
      <c r="D74" s="58"/>
      <c r="E74" s="59"/>
      <c r="F74" s="58"/>
      <c r="G74" s="58"/>
      <c r="H74" s="58"/>
      <c r="I74" s="58"/>
      <c r="J74" s="58"/>
      <c r="K74" s="60"/>
    </row>
    <row r="75" spans="1:11" s="52" customFormat="1" ht="12" x14ac:dyDescent="0.2">
      <c r="A75" s="57"/>
      <c r="B75" s="58"/>
      <c r="C75" s="58"/>
      <c r="D75" s="58"/>
      <c r="E75" s="59"/>
      <c r="F75" s="58"/>
      <c r="G75" s="58"/>
      <c r="H75" s="58"/>
      <c r="I75" s="58"/>
      <c r="J75" s="58"/>
      <c r="K75" s="60"/>
    </row>
    <row r="76" spans="1:11" s="52" customFormat="1" ht="12" x14ac:dyDescent="0.2">
      <c r="A76" s="57"/>
      <c r="B76" s="58"/>
      <c r="C76" s="58"/>
      <c r="D76" s="58"/>
      <c r="E76" s="59"/>
      <c r="F76" s="58"/>
      <c r="G76" s="58"/>
      <c r="H76" s="58"/>
      <c r="I76" s="58"/>
      <c r="J76" s="58"/>
      <c r="K76" s="60"/>
    </row>
    <row r="77" spans="1:11" s="52" customFormat="1" ht="12" x14ac:dyDescent="0.2">
      <c r="A77" s="57"/>
      <c r="B77" s="58"/>
      <c r="C77" s="58"/>
      <c r="D77" s="58"/>
      <c r="E77" s="59"/>
      <c r="F77" s="58"/>
      <c r="G77" s="58"/>
      <c r="H77" s="58"/>
      <c r="I77" s="58"/>
      <c r="J77" s="58"/>
      <c r="K77" s="60"/>
    </row>
    <row r="78" spans="1:11" s="52" customFormat="1" ht="12" x14ac:dyDescent="0.2">
      <c r="A78" s="57"/>
      <c r="B78" s="58"/>
      <c r="C78" s="58"/>
      <c r="D78" s="58"/>
      <c r="E78" s="59"/>
      <c r="F78" s="58"/>
      <c r="G78" s="58"/>
      <c r="H78" s="58"/>
      <c r="I78" s="58"/>
      <c r="J78" s="58"/>
      <c r="K78" s="60"/>
    </row>
    <row r="79" spans="1:11" s="52" customFormat="1" ht="12" x14ac:dyDescent="0.2">
      <c r="A79" s="57"/>
      <c r="B79" s="58"/>
      <c r="C79" s="58"/>
      <c r="D79" s="58"/>
      <c r="E79" s="59"/>
      <c r="F79" s="58"/>
      <c r="G79" s="58"/>
      <c r="H79" s="58"/>
      <c r="I79" s="58"/>
      <c r="J79" s="58"/>
      <c r="K79" s="60"/>
    </row>
    <row r="80" spans="1:11" s="52" customFormat="1" ht="12" x14ac:dyDescent="0.2">
      <c r="A80" s="57"/>
      <c r="B80" s="58"/>
      <c r="C80" s="58"/>
      <c r="D80" s="58"/>
      <c r="E80" s="59"/>
      <c r="F80" s="58"/>
      <c r="G80" s="58"/>
      <c r="H80" s="58"/>
      <c r="I80" s="58"/>
      <c r="J80" s="58"/>
      <c r="K80" s="60"/>
    </row>
    <row r="81" spans="1:11" s="52" customFormat="1" ht="12" x14ac:dyDescent="0.2">
      <c r="A81" s="57"/>
      <c r="B81" s="58"/>
      <c r="C81" s="58"/>
      <c r="D81" s="58"/>
      <c r="E81" s="59"/>
      <c r="F81" s="58"/>
      <c r="G81" s="58"/>
      <c r="H81" s="58"/>
      <c r="I81" s="58"/>
      <c r="J81" s="58"/>
      <c r="K81" s="60"/>
    </row>
    <row r="82" spans="1:11" s="52" customFormat="1" ht="12" x14ac:dyDescent="0.2">
      <c r="A82" s="57"/>
      <c r="B82" s="58"/>
      <c r="C82" s="58"/>
      <c r="D82" s="58"/>
      <c r="E82" s="59"/>
      <c r="F82" s="58"/>
      <c r="G82" s="58"/>
      <c r="H82" s="58"/>
      <c r="I82" s="58"/>
      <c r="J82" s="58"/>
      <c r="K82" s="60"/>
    </row>
    <row r="83" spans="1:11" s="52" customFormat="1" ht="12" x14ac:dyDescent="0.2">
      <c r="A83" s="57"/>
      <c r="B83" s="58"/>
      <c r="C83" s="58"/>
      <c r="D83" s="58"/>
      <c r="E83" s="59"/>
      <c r="F83" s="58"/>
      <c r="G83" s="58"/>
      <c r="H83" s="58"/>
      <c r="I83" s="58"/>
      <c r="J83" s="58"/>
      <c r="K83" s="60"/>
    </row>
    <row r="84" spans="1:11" s="52" customFormat="1" ht="12" x14ac:dyDescent="0.2">
      <c r="A84" s="57"/>
      <c r="B84" s="58"/>
      <c r="C84" s="58"/>
      <c r="D84" s="58"/>
      <c r="E84" s="59"/>
      <c r="F84" s="58"/>
      <c r="G84" s="58"/>
      <c r="H84" s="58"/>
      <c r="I84" s="58"/>
      <c r="J84" s="58"/>
      <c r="K84" s="60"/>
    </row>
    <row r="85" spans="1:11" s="52" customFormat="1" ht="12" x14ac:dyDescent="0.2">
      <c r="A85" s="57"/>
      <c r="B85" s="58"/>
      <c r="C85" s="58"/>
      <c r="D85" s="58"/>
      <c r="E85" s="59"/>
      <c r="F85" s="58"/>
      <c r="G85" s="58"/>
      <c r="H85" s="58"/>
      <c r="I85" s="58"/>
      <c r="J85" s="58"/>
      <c r="K85" s="60"/>
    </row>
    <row r="86" spans="1:11" s="52" customFormat="1" ht="12" x14ac:dyDescent="0.2">
      <c r="A86" s="57"/>
      <c r="B86" s="58"/>
      <c r="C86" s="58"/>
      <c r="D86" s="58"/>
      <c r="E86" s="59"/>
      <c r="F86" s="58"/>
      <c r="G86" s="58"/>
      <c r="H86" s="58"/>
      <c r="I86" s="58"/>
      <c r="J86" s="58"/>
      <c r="K86" s="60"/>
    </row>
    <row r="87" spans="1:11" s="52" customFormat="1" ht="12" x14ac:dyDescent="0.2">
      <c r="A87" s="57"/>
      <c r="B87" s="58"/>
      <c r="C87" s="58"/>
      <c r="D87" s="58"/>
      <c r="E87" s="59"/>
      <c r="F87" s="58"/>
      <c r="G87" s="58"/>
      <c r="H87" s="58"/>
      <c r="I87" s="58"/>
      <c r="J87" s="58"/>
      <c r="K87" s="60"/>
    </row>
    <row r="88" spans="1:11" s="52" customFormat="1" ht="12" x14ac:dyDescent="0.2">
      <c r="A88" s="57"/>
      <c r="B88" s="58"/>
      <c r="C88" s="58"/>
      <c r="D88" s="58"/>
      <c r="E88" s="59"/>
      <c r="F88" s="58"/>
      <c r="G88" s="58"/>
      <c r="H88" s="58"/>
      <c r="I88" s="58"/>
      <c r="J88" s="58"/>
      <c r="K88" s="60"/>
    </row>
    <row r="89" spans="1:11" s="52" customFormat="1" ht="12" x14ac:dyDescent="0.2">
      <c r="A89" s="57"/>
      <c r="B89" s="58"/>
      <c r="C89" s="58"/>
      <c r="D89" s="58"/>
      <c r="E89" s="59"/>
      <c r="F89" s="58"/>
      <c r="G89" s="58"/>
      <c r="H89" s="58"/>
      <c r="I89" s="58"/>
      <c r="J89" s="58"/>
      <c r="K89" s="60"/>
    </row>
    <row r="90" spans="1:11" s="52" customFormat="1" ht="12" x14ac:dyDescent="0.2">
      <c r="A90" s="57"/>
      <c r="B90" s="58"/>
      <c r="C90" s="58"/>
      <c r="D90" s="58"/>
      <c r="E90" s="59"/>
      <c r="F90" s="58"/>
      <c r="G90" s="58"/>
      <c r="H90" s="58"/>
      <c r="I90" s="58"/>
      <c r="J90" s="58"/>
      <c r="K90" s="60"/>
    </row>
    <row r="91" spans="1:11" s="52" customFormat="1" ht="12" x14ac:dyDescent="0.2">
      <c r="A91" s="57"/>
      <c r="B91" s="58"/>
      <c r="C91" s="58"/>
      <c r="D91" s="58"/>
      <c r="E91" s="59"/>
      <c r="F91" s="58"/>
      <c r="G91" s="58"/>
      <c r="H91" s="58"/>
      <c r="I91" s="58"/>
      <c r="J91" s="58"/>
      <c r="K91" s="60"/>
    </row>
    <row r="92" spans="1:11" s="52" customFormat="1" ht="12" x14ac:dyDescent="0.2">
      <c r="A92" s="57"/>
      <c r="B92" s="58"/>
      <c r="C92" s="58"/>
      <c r="D92" s="58"/>
      <c r="E92" s="59"/>
      <c r="F92" s="58"/>
      <c r="G92" s="58"/>
      <c r="H92" s="58"/>
      <c r="I92" s="58"/>
      <c r="J92" s="58"/>
      <c r="K92" s="60"/>
    </row>
    <row r="93" spans="1:11" s="52" customFormat="1" ht="12" x14ac:dyDescent="0.2">
      <c r="A93" s="57"/>
      <c r="B93" s="58"/>
      <c r="C93" s="58"/>
      <c r="D93" s="58"/>
      <c r="E93" s="59"/>
      <c r="F93" s="58"/>
      <c r="G93" s="58"/>
      <c r="H93" s="58"/>
      <c r="I93" s="58"/>
      <c r="J93" s="58"/>
      <c r="K93" s="60"/>
    </row>
    <row r="94" spans="1:11" s="52" customFormat="1" ht="12" x14ac:dyDescent="0.2">
      <c r="A94" s="57"/>
      <c r="B94" s="58"/>
      <c r="C94" s="58"/>
      <c r="D94" s="58"/>
      <c r="E94" s="59"/>
      <c r="F94" s="58"/>
      <c r="G94" s="58"/>
      <c r="H94" s="58"/>
      <c r="I94" s="58"/>
      <c r="J94" s="58"/>
      <c r="K94" s="60"/>
    </row>
    <row r="95" spans="1:11" s="52" customFormat="1" ht="12" x14ac:dyDescent="0.2">
      <c r="A95" s="57"/>
      <c r="B95" s="58"/>
      <c r="C95" s="58"/>
      <c r="D95" s="58"/>
      <c r="E95" s="59"/>
      <c r="F95" s="58"/>
      <c r="G95" s="58"/>
      <c r="H95" s="58"/>
      <c r="I95" s="58"/>
      <c r="J95" s="58"/>
      <c r="K95" s="60"/>
    </row>
    <row r="96" spans="1:11" s="52" customFormat="1" ht="12" x14ac:dyDescent="0.2">
      <c r="A96" s="57"/>
      <c r="B96" s="58"/>
      <c r="C96" s="58"/>
      <c r="D96" s="58"/>
      <c r="E96" s="59"/>
      <c r="F96" s="58"/>
      <c r="G96" s="58"/>
      <c r="H96" s="58"/>
      <c r="I96" s="58"/>
      <c r="J96" s="58"/>
      <c r="K96" s="60"/>
    </row>
    <row r="97" spans="1:11" s="52" customFormat="1" ht="12" x14ac:dyDescent="0.2">
      <c r="A97" s="57"/>
      <c r="B97" s="58"/>
      <c r="C97" s="58"/>
      <c r="D97" s="58"/>
      <c r="E97" s="59"/>
      <c r="F97" s="58"/>
      <c r="G97" s="58"/>
      <c r="H97" s="58"/>
      <c r="I97" s="58"/>
      <c r="J97" s="58"/>
      <c r="K97" s="60"/>
    </row>
    <row r="98" spans="1:11" s="52" customFormat="1" ht="12" x14ac:dyDescent="0.2">
      <c r="A98" s="57"/>
      <c r="B98" s="58"/>
      <c r="C98" s="58"/>
      <c r="D98" s="58"/>
      <c r="E98" s="59"/>
      <c r="F98" s="58"/>
      <c r="G98" s="58"/>
      <c r="H98" s="58"/>
      <c r="I98" s="58"/>
      <c r="J98" s="58"/>
      <c r="K98" s="60"/>
    </row>
    <row r="99" spans="1:11" s="52" customFormat="1" ht="12" x14ac:dyDescent="0.2">
      <c r="A99" s="57"/>
      <c r="B99" s="58"/>
      <c r="C99" s="58"/>
      <c r="D99" s="58"/>
      <c r="E99" s="59"/>
      <c r="F99" s="58"/>
      <c r="G99" s="58"/>
      <c r="H99" s="58"/>
      <c r="I99" s="58"/>
      <c r="J99" s="58"/>
      <c r="K99" s="60"/>
    </row>
    <row r="100" spans="1:11" s="52" customFormat="1" ht="12" x14ac:dyDescent="0.2">
      <c r="A100" s="57"/>
      <c r="B100" s="58"/>
      <c r="C100" s="58"/>
      <c r="D100" s="58"/>
      <c r="E100" s="59"/>
      <c r="F100" s="58"/>
      <c r="G100" s="58"/>
      <c r="H100" s="58"/>
      <c r="I100" s="58"/>
      <c r="J100" s="58"/>
      <c r="K100" s="60"/>
    </row>
    <row r="101" spans="1:11" s="52" customFormat="1" ht="12" x14ac:dyDescent="0.2">
      <c r="A101" s="57"/>
      <c r="B101" s="58"/>
      <c r="C101" s="58"/>
      <c r="D101" s="58"/>
      <c r="E101" s="59"/>
      <c r="F101" s="58"/>
      <c r="G101" s="58"/>
      <c r="H101" s="58"/>
      <c r="I101" s="58"/>
      <c r="J101" s="58"/>
      <c r="K101" s="60"/>
    </row>
    <row r="102" spans="1:11" s="52" customFormat="1" ht="12" x14ac:dyDescent="0.2">
      <c r="A102" s="57"/>
      <c r="B102" s="58"/>
      <c r="C102" s="58"/>
      <c r="D102" s="58"/>
      <c r="E102" s="59"/>
      <c r="F102" s="58"/>
      <c r="G102" s="58"/>
      <c r="H102" s="58"/>
      <c r="I102" s="58"/>
      <c r="J102" s="58"/>
      <c r="K102" s="60"/>
    </row>
    <row r="103" spans="1:11" s="52" customFormat="1" ht="12" x14ac:dyDescent="0.2">
      <c r="A103" s="57"/>
      <c r="B103" s="58"/>
      <c r="C103" s="58"/>
      <c r="D103" s="58"/>
      <c r="E103" s="59"/>
      <c r="F103" s="58"/>
      <c r="G103" s="58"/>
      <c r="H103" s="58"/>
      <c r="I103" s="58"/>
      <c r="J103" s="58"/>
      <c r="K103" s="60"/>
    </row>
    <row r="104" spans="1:11" s="52" customFormat="1" ht="12" x14ac:dyDescent="0.2">
      <c r="A104" s="57"/>
      <c r="B104" s="58"/>
      <c r="C104" s="58"/>
      <c r="D104" s="58"/>
      <c r="E104" s="59"/>
      <c r="F104" s="58"/>
      <c r="G104" s="58"/>
      <c r="H104" s="58"/>
      <c r="I104" s="58"/>
      <c r="J104" s="58"/>
      <c r="K104" s="60"/>
    </row>
    <row r="105" spans="1:11" s="52" customFormat="1" ht="12" x14ac:dyDescent="0.2">
      <c r="A105" s="57"/>
      <c r="B105" s="58"/>
      <c r="C105" s="58"/>
      <c r="D105" s="58"/>
      <c r="E105" s="59"/>
      <c r="F105" s="58"/>
      <c r="G105" s="58"/>
      <c r="H105" s="58"/>
      <c r="I105" s="58"/>
      <c r="J105" s="58"/>
      <c r="K105" s="60"/>
    </row>
    <row r="106" spans="1:11" s="52" customFormat="1" ht="12" x14ac:dyDescent="0.2">
      <c r="A106" s="57"/>
      <c r="B106" s="58"/>
      <c r="C106" s="58"/>
      <c r="D106" s="58"/>
      <c r="E106" s="59"/>
      <c r="F106" s="58"/>
      <c r="G106" s="58"/>
      <c r="H106" s="58"/>
      <c r="I106" s="58"/>
      <c r="J106" s="58"/>
      <c r="K106" s="60"/>
    </row>
    <row r="107" spans="1:11" s="52" customFormat="1" ht="12" x14ac:dyDescent="0.2">
      <c r="A107" s="57"/>
      <c r="B107" s="58"/>
      <c r="C107" s="58"/>
      <c r="D107" s="58"/>
      <c r="E107" s="59"/>
      <c r="F107" s="58"/>
      <c r="G107" s="58"/>
      <c r="H107" s="58"/>
      <c r="I107" s="58"/>
      <c r="J107" s="58"/>
      <c r="K107" s="60"/>
    </row>
    <row r="108" spans="1:11" s="52" customFormat="1" ht="12" x14ac:dyDescent="0.2">
      <c r="A108" s="57"/>
      <c r="B108" s="58"/>
      <c r="C108" s="58"/>
      <c r="D108" s="58"/>
      <c r="E108" s="59"/>
      <c r="F108" s="58"/>
      <c r="G108" s="58"/>
      <c r="H108" s="58"/>
      <c r="I108" s="58"/>
      <c r="J108" s="58"/>
      <c r="K108" s="60"/>
    </row>
    <row r="109" spans="1:11" s="52" customFormat="1" ht="12" x14ac:dyDescent="0.2">
      <c r="A109" s="57"/>
      <c r="B109" s="58"/>
      <c r="C109" s="58"/>
      <c r="D109" s="58"/>
      <c r="E109" s="59"/>
      <c r="F109" s="58"/>
      <c r="G109" s="58"/>
      <c r="H109" s="58"/>
      <c r="I109" s="58"/>
      <c r="J109" s="58"/>
      <c r="K109" s="60"/>
    </row>
    <row r="110" spans="1:11" s="52" customFormat="1" ht="12" x14ac:dyDescent="0.2">
      <c r="A110" s="57"/>
      <c r="B110" s="58"/>
      <c r="C110" s="58"/>
      <c r="D110" s="58"/>
      <c r="E110" s="59"/>
      <c r="F110" s="58"/>
      <c r="G110" s="58"/>
      <c r="H110" s="58"/>
      <c r="I110" s="58"/>
      <c r="J110" s="58"/>
      <c r="K110" s="60"/>
    </row>
    <row r="111" spans="1:11" s="52" customFormat="1" ht="12" x14ac:dyDescent="0.2">
      <c r="A111" s="57"/>
      <c r="B111" s="58"/>
      <c r="C111" s="58"/>
      <c r="D111" s="58"/>
      <c r="E111" s="59"/>
      <c r="F111" s="58"/>
      <c r="G111" s="58"/>
      <c r="H111" s="58"/>
      <c r="I111" s="58"/>
      <c r="J111" s="58"/>
      <c r="K111" s="60"/>
    </row>
    <row r="112" spans="1:11" s="52" customFormat="1" ht="12" x14ac:dyDescent="0.2">
      <c r="A112" s="57"/>
      <c r="B112" s="58"/>
      <c r="C112" s="58"/>
      <c r="D112" s="58"/>
      <c r="E112" s="59"/>
      <c r="F112" s="58"/>
      <c r="G112" s="58"/>
      <c r="H112" s="58"/>
      <c r="I112" s="58"/>
      <c r="J112" s="58"/>
      <c r="K112" s="60"/>
    </row>
    <row r="113" spans="1:11" s="52" customFormat="1" ht="12" x14ac:dyDescent="0.2">
      <c r="A113" s="57"/>
      <c r="B113" s="58"/>
      <c r="C113" s="58"/>
      <c r="D113" s="58"/>
      <c r="E113" s="59"/>
      <c r="F113" s="58"/>
      <c r="G113" s="58"/>
      <c r="H113" s="58"/>
      <c r="I113" s="58"/>
      <c r="J113" s="58"/>
      <c r="K113" s="60"/>
    </row>
    <row r="114" spans="1:11" s="52" customFormat="1" ht="12" x14ac:dyDescent="0.2">
      <c r="A114" s="57"/>
      <c r="B114" s="58"/>
      <c r="C114" s="58"/>
      <c r="D114" s="58"/>
      <c r="E114" s="59"/>
      <c r="F114" s="58"/>
      <c r="G114" s="58"/>
      <c r="H114" s="58"/>
      <c r="I114" s="58"/>
      <c r="J114" s="58"/>
      <c r="K114" s="60"/>
    </row>
    <row r="115" spans="1:11" s="52" customFormat="1" ht="12" x14ac:dyDescent="0.2">
      <c r="A115" s="57"/>
      <c r="B115" s="58"/>
      <c r="C115" s="58"/>
      <c r="D115" s="58"/>
      <c r="E115" s="59"/>
      <c r="F115" s="58"/>
      <c r="G115" s="58"/>
      <c r="H115" s="58"/>
      <c r="I115" s="58"/>
      <c r="J115" s="58"/>
      <c r="K115" s="60"/>
    </row>
    <row r="116" spans="1:11" s="52" customFormat="1" ht="12" x14ac:dyDescent="0.2">
      <c r="A116" s="57"/>
      <c r="B116" s="58"/>
      <c r="C116" s="58"/>
      <c r="D116" s="58"/>
      <c r="E116" s="59"/>
      <c r="F116" s="58"/>
      <c r="G116" s="58"/>
      <c r="H116" s="58"/>
      <c r="I116" s="58"/>
      <c r="J116" s="58"/>
      <c r="K116" s="60"/>
    </row>
    <row r="117" spans="1:11" s="52" customFormat="1" ht="12" x14ac:dyDescent="0.2">
      <c r="A117" s="57"/>
      <c r="B117" s="58"/>
      <c r="C117" s="58"/>
      <c r="D117" s="58"/>
      <c r="E117" s="59"/>
      <c r="F117" s="58"/>
      <c r="G117" s="58"/>
      <c r="H117" s="58"/>
      <c r="I117" s="58"/>
      <c r="J117" s="58"/>
      <c r="K117" s="60"/>
    </row>
    <row r="118" spans="1:11" s="52" customFormat="1" ht="12" x14ac:dyDescent="0.2">
      <c r="A118" s="57"/>
      <c r="B118" s="58"/>
      <c r="C118" s="58"/>
      <c r="D118" s="58"/>
      <c r="E118" s="59"/>
      <c r="F118" s="58"/>
      <c r="G118" s="58"/>
      <c r="H118" s="58"/>
      <c r="I118" s="58"/>
      <c r="J118" s="58"/>
      <c r="K118" s="60"/>
    </row>
    <row r="119" spans="1:11" s="52" customFormat="1" ht="12" x14ac:dyDescent="0.2">
      <c r="A119" s="57"/>
      <c r="B119" s="58"/>
      <c r="C119" s="58"/>
      <c r="D119" s="58"/>
      <c r="E119" s="59"/>
      <c r="F119" s="58"/>
      <c r="G119" s="58"/>
      <c r="H119" s="58"/>
      <c r="I119" s="58"/>
      <c r="J119" s="58"/>
      <c r="K119" s="60"/>
    </row>
    <row r="120" spans="1:11" s="52" customFormat="1" ht="12" x14ac:dyDescent="0.2">
      <c r="A120" s="57"/>
      <c r="B120" s="58"/>
      <c r="C120" s="58"/>
      <c r="D120" s="58"/>
      <c r="E120" s="59"/>
      <c r="F120" s="58"/>
      <c r="G120" s="58"/>
      <c r="H120" s="58"/>
      <c r="I120" s="58"/>
      <c r="J120" s="58"/>
      <c r="K120" s="60"/>
    </row>
    <row r="121" spans="1:11" s="52" customFormat="1" ht="12" x14ac:dyDescent="0.2">
      <c r="A121" s="57"/>
      <c r="B121" s="58"/>
      <c r="C121" s="58"/>
      <c r="D121" s="58"/>
      <c r="E121" s="59"/>
      <c r="F121" s="58"/>
      <c r="G121" s="58"/>
      <c r="H121" s="58"/>
      <c r="I121" s="58"/>
      <c r="J121" s="58"/>
      <c r="K121" s="60"/>
    </row>
    <row r="122" spans="1:11" s="52" customFormat="1" ht="12" x14ac:dyDescent="0.2">
      <c r="A122" s="57"/>
      <c r="B122" s="58"/>
      <c r="C122" s="58"/>
      <c r="D122" s="58"/>
      <c r="E122" s="59"/>
      <c r="F122" s="58"/>
      <c r="G122" s="58"/>
      <c r="H122" s="58"/>
      <c r="I122" s="58"/>
      <c r="J122" s="58"/>
      <c r="K122" s="60"/>
    </row>
    <row r="123" spans="1:11" s="52" customFormat="1" ht="12" x14ac:dyDescent="0.2">
      <c r="A123" s="57"/>
      <c r="B123" s="58"/>
      <c r="C123" s="58"/>
      <c r="D123" s="58"/>
      <c r="E123" s="59"/>
      <c r="F123" s="58"/>
      <c r="G123" s="58"/>
      <c r="H123" s="58"/>
      <c r="I123" s="58"/>
      <c r="J123" s="58"/>
      <c r="K123" s="60"/>
    </row>
    <row r="124" spans="1:11" s="52" customFormat="1" ht="12" x14ac:dyDescent="0.2">
      <c r="A124" s="57"/>
      <c r="B124" s="58"/>
      <c r="C124" s="58"/>
      <c r="D124" s="58"/>
      <c r="E124" s="59"/>
      <c r="F124" s="58"/>
      <c r="G124" s="58"/>
      <c r="H124" s="58"/>
      <c r="I124" s="58"/>
      <c r="J124" s="58"/>
      <c r="K124" s="60"/>
    </row>
    <row r="125" spans="1:11" s="52" customFormat="1" ht="12" x14ac:dyDescent="0.2">
      <c r="A125" s="57"/>
      <c r="B125" s="58"/>
      <c r="C125" s="58"/>
      <c r="D125" s="58"/>
      <c r="E125" s="59"/>
      <c r="F125" s="58"/>
      <c r="G125" s="58"/>
      <c r="H125" s="58"/>
      <c r="I125" s="58"/>
      <c r="J125" s="58"/>
      <c r="K125" s="60"/>
    </row>
    <row r="126" spans="1:11" s="52" customFormat="1" ht="12" x14ac:dyDescent="0.2">
      <c r="A126" s="57"/>
      <c r="B126" s="58"/>
      <c r="C126" s="58"/>
      <c r="D126" s="58"/>
      <c r="E126" s="59"/>
      <c r="F126" s="58"/>
      <c r="G126" s="58"/>
      <c r="H126" s="58"/>
      <c r="I126" s="58"/>
      <c r="J126" s="58"/>
      <c r="K126" s="60"/>
    </row>
    <row r="127" spans="1:11" s="52" customFormat="1" ht="12" x14ac:dyDescent="0.2">
      <c r="A127" s="57"/>
      <c r="B127" s="58"/>
      <c r="C127" s="58"/>
      <c r="D127" s="58"/>
      <c r="E127" s="59"/>
      <c r="F127" s="58"/>
      <c r="G127" s="58"/>
      <c r="H127" s="58"/>
      <c r="I127" s="58"/>
      <c r="J127" s="58"/>
      <c r="K127" s="60"/>
    </row>
    <row r="128" spans="1:11" s="52" customFormat="1" ht="12" x14ac:dyDescent="0.2">
      <c r="A128" s="57"/>
      <c r="B128" s="58"/>
      <c r="C128" s="58"/>
      <c r="D128" s="58"/>
      <c r="E128" s="59"/>
      <c r="F128" s="58"/>
      <c r="G128" s="58"/>
      <c r="H128" s="58"/>
      <c r="I128" s="58"/>
      <c r="J128" s="58"/>
      <c r="K128" s="60"/>
    </row>
    <row r="129" spans="1:11" s="52" customFormat="1" ht="12" x14ac:dyDescent="0.2">
      <c r="A129" s="57"/>
      <c r="B129" s="58"/>
      <c r="C129" s="58"/>
      <c r="D129" s="58"/>
      <c r="E129" s="59"/>
      <c r="F129" s="58"/>
      <c r="G129" s="58"/>
      <c r="H129" s="58"/>
      <c r="I129" s="58"/>
      <c r="J129" s="58"/>
      <c r="K129" s="60"/>
    </row>
    <row r="130" spans="1:11" s="52" customFormat="1" ht="12" x14ac:dyDescent="0.2">
      <c r="A130" s="57"/>
      <c r="B130" s="58"/>
      <c r="C130" s="58"/>
      <c r="D130" s="58"/>
      <c r="E130" s="59"/>
      <c r="F130" s="58"/>
      <c r="G130" s="58"/>
      <c r="H130" s="58"/>
      <c r="I130" s="58"/>
      <c r="J130" s="58"/>
      <c r="K130" s="60"/>
    </row>
    <row r="131" spans="1:11" s="52" customFormat="1" ht="12" x14ac:dyDescent="0.2">
      <c r="A131" s="57"/>
      <c r="B131" s="58"/>
      <c r="C131" s="58"/>
      <c r="D131" s="58"/>
      <c r="E131" s="59"/>
      <c r="F131" s="58"/>
      <c r="G131" s="58"/>
      <c r="H131" s="58"/>
      <c r="I131" s="58"/>
      <c r="J131" s="58"/>
      <c r="K131" s="60"/>
    </row>
    <row r="132" spans="1:11" s="52" customFormat="1" ht="12" x14ac:dyDescent="0.2">
      <c r="A132" s="57"/>
      <c r="B132" s="58"/>
      <c r="C132" s="58"/>
      <c r="D132" s="58"/>
      <c r="E132" s="59"/>
      <c r="F132" s="58"/>
      <c r="G132" s="58"/>
      <c r="H132" s="58"/>
      <c r="I132" s="58"/>
      <c r="J132" s="58"/>
      <c r="K132" s="60"/>
    </row>
    <row r="133" spans="1:11" s="52" customFormat="1" ht="12" x14ac:dyDescent="0.2">
      <c r="A133" s="57"/>
      <c r="B133" s="58"/>
      <c r="C133" s="58"/>
      <c r="D133" s="58"/>
      <c r="E133" s="59"/>
      <c r="F133" s="58"/>
      <c r="G133" s="58"/>
      <c r="H133" s="58"/>
      <c r="I133" s="58"/>
      <c r="J133" s="58"/>
      <c r="K133" s="60"/>
    </row>
    <row r="134" spans="1:11" s="52" customFormat="1" ht="12" x14ac:dyDescent="0.2">
      <c r="A134" s="57"/>
      <c r="B134" s="58"/>
      <c r="C134" s="58"/>
      <c r="D134" s="58"/>
      <c r="E134" s="59"/>
      <c r="F134" s="58"/>
      <c r="G134" s="58"/>
      <c r="H134" s="58"/>
      <c r="I134" s="58"/>
      <c r="J134" s="58"/>
      <c r="K134" s="60"/>
    </row>
    <row r="135" spans="1:11" s="52" customFormat="1" ht="12" x14ac:dyDescent="0.2">
      <c r="A135" s="57"/>
      <c r="B135" s="58"/>
      <c r="C135" s="58"/>
      <c r="D135" s="58"/>
      <c r="E135" s="59"/>
      <c r="F135" s="58"/>
      <c r="G135" s="58"/>
      <c r="H135" s="58"/>
      <c r="I135" s="58"/>
      <c r="J135" s="58"/>
      <c r="K135" s="60"/>
    </row>
    <row r="136" spans="1:11" s="52" customFormat="1" ht="12" x14ac:dyDescent="0.2">
      <c r="A136" s="57"/>
      <c r="B136" s="58"/>
      <c r="C136" s="58"/>
      <c r="D136" s="58"/>
      <c r="E136" s="59"/>
      <c r="F136" s="58"/>
      <c r="G136" s="58"/>
      <c r="H136" s="58"/>
      <c r="I136" s="58"/>
      <c r="J136" s="58"/>
      <c r="K136" s="60"/>
    </row>
    <row r="137" spans="1:11" s="52" customFormat="1" ht="12" x14ac:dyDescent="0.2">
      <c r="A137" s="57"/>
      <c r="B137" s="58"/>
      <c r="C137" s="58"/>
      <c r="D137" s="58"/>
      <c r="E137" s="59"/>
      <c r="F137" s="58"/>
      <c r="G137" s="58"/>
      <c r="H137" s="58"/>
      <c r="I137" s="58"/>
      <c r="J137" s="58"/>
      <c r="K137" s="60"/>
    </row>
    <row r="138" spans="1:11" s="52" customFormat="1" ht="12" x14ac:dyDescent="0.2">
      <c r="A138" s="57"/>
      <c r="B138" s="58"/>
      <c r="C138" s="58"/>
      <c r="D138" s="58"/>
      <c r="E138" s="59"/>
      <c r="F138" s="58"/>
      <c r="G138" s="58"/>
      <c r="H138" s="58"/>
      <c r="I138" s="58"/>
      <c r="J138" s="58"/>
      <c r="K138" s="60"/>
    </row>
    <row r="139" spans="1:11" s="52" customFormat="1" ht="12" x14ac:dyDescent="0.2">
      <c r="A139" s="57"/>
      <c r="B139" s="58"/>
      <c r="C139" s="58"/>
      <c r="D139" s="58"/>
      <c r="E139" s="59"/>
      <c r="F139" s="58"/>
      <c r="G139" s="58"/>
      <c r="H139" s="58"/>
      <c r="I139" s="58"/>
      <c r="J139" s="58"/>
      <c r="K139" s="60"/>
    </row>
    <row r="140" spans="1:11" s="52" customFormat="1" ht="12" x14ac:dyDescent="0.2">
      <c r="A140" s="57"/>
      <c r="B140" s="58"/>
      <c r="C140" s="58"/>
      <c r="D140" s="58"/>
      <c r="E140" s="59"/>
      <c r="F140" s="58"/>
      <c r="G140" s="58"/>
      <c r="H140" s="58"/>
      <c r="I140" s="58"/>
      <c r="J140" s="58"/>
      <c r="K140" s="60"/>
    </row>
    <row r="141" spans="1:11" s="52" customFormat="1" ht="12" x14ac:dyDescent="0.2">
      <c r="A141" s="57"/>
      <c r="B141" s="58"/>
      <c r="C141" s="58"/>
      <c r="D141" s="58"/>
      <c r="E141" s="59"/>
      <c r="F141" s="58"/>
      <c r="G141" s="58"/>
      <c r="H141" s="58"/>
      <c r="I141" s="58"/>
      <c r="J141" s="58"/>
      <c r="K141" s="60"/>
    </row>
    <row r="142" spans="1:11" s="52" customFormat="1" ht="12" x14ac:dyDescent="0.2">
      <c r="A142" s="57"/>
      <c r="B142" s="58"/>
      <c r="C142" s="58"/>
      <c r="D142" s="58"/>
      <c r="E142" s="59"/>
      <c r="F142" s="58"/>
      <c r="G142" s="58"/>
      <c r="H142" s="58"/>
      <c r="I142" s="58"/>
      <c r="J142" s="58"/>
      <c r="K142" s="60"/>
    </row>
    <row r="143" spans="1:11" s="52" customFormat="1" ht="12" x14ac:dyDescent="0.2">
      <c r="A143" s="57"/>
      <c r="B143" s="58"/>
      <c r="C143" s="58"/>
      <c r="D143" s="58"/>
      <c r="E143" s="59"/>
      <c r="F143" s="58"/>
      <c r="G143" s="58"/>
      <c r="H143" s="58"/>
      <c r="I143" s="58"/>
      <c r="J143" s="58"/>
      <c r="K143" s="60"/>
    </row>
    <row r="144" spans="1:11" s="52" customFormat="1" ht="12" x14ac:dyDescent="0.2">
      <c r="A144" s="57"/>
      <c r="B144" s="58"/>
      <c r="C144" s="58"/>
      <c r="D144" s="58"/>
      <c r="E144" s="59"/>
      <c r="F144" s="58"/>
      <c r="G144" s="58"/>
      <c r="H144" s="58"/>
      <c r="I144" s="58"/>
      <c r="J144" s="58"/>
      <c r="K144" s="60"/>
    </row>
    <row r="145" spans="1:11" s="52" customFormat="1" ht="12" x14ac:dyDescent="0.2">
      <c r="A145" s="57"/>
      <c r="B145" s="58"/>
      <c r="C145" s="58"/>
      <c r="D145" s="58"/>
      <c r="E145" s="59"/>
      <c r="F145" s="58"/>
      <c r="G145" s="58"/>
      <c r="H145" s="58"/>
      <c r="I145" s="58"/>
      <c r="J145" s="58"/>
      <c r="K145" s="60"/>
    </row>
    <row r="146" spans="1:11" s="52" customFormat="1" ht="12" x14ac:dyDescent="0.2">
      <c r="A146" s="57"/>
      <c r="B146" s="58"/>
      <c r="C146" s="58"/>
      <c r="D146" s="58"/>
      <c r="E146" s="59"/>
      <c r="F146" s="58"/>
      <c r="G146" s="58"/>
      <c r="H146" s="58"/>
      <c r="I146" s="58"/>
      <c r="J146" s="58"/>
      <c r="K146" s="60"/>
    </row>
    <row r="147" spans="1:11" s="52" customFormat="1" ht="12" x14ac:dyDescent="0.2">
      <c r="A147" s="57"/>
      <c r="B147" s="58"/>
      <c r="C147" s="58"/>
      <c r="D147" s="58"/>
      <c r="E147" s="59"/>
      <c r="F147" s="58"/>
      <c r="G147" s="58"/>
      <c r="H147" s="58"/>
      <c r="I147" s="58"/>
      <c r="J147" s="58"/>
      <c r="K147" s="60"/>
    </row>
    <row r="148" spans="1:11" s="52" customFormat="1" ht="12" x14ac:dyDescent="0.2">
      <c r="A148" s="57"/>
      <c r="B148" s="58"/>
      <c r="C148" s="58"/>
      <c r="D148" s="58"/>
      <c r="E148" s="59"/>
      <c r="F148" s="58"/>
      <c r="G148" s="58"/>
      <c r="H148" s="58"/>
      <c r="I148" s="58"/>
      <c r="J148" s="58"/>
      <c r="K148" s="60"/>
    </row>
    <row r="149" spans="1:11" s="52" customFormat="1" ht="12" x14ac:dyDescent="0.2">
      <c r="A149" s="57"/>
      <c r="B149" s="58"/>
      <c r="C149" s="58"/>
      <c r="D149" s="58"/>
      <c r="E149" s="59"/>
      <c r="F149" s="58"/>
      <c r="G149" s="58"/>
      <c r="H149" s="58"/>
      <c r="I149" s="58"/>
      <c r="J149" s="58"/>
      <c r="K149" s="60"/>
    </row>
    <row r="150" spans="1:11" s="52" customFormat="1" ht="12" x14ac:dyDescent="0.2">
      <c r="A150" s="57"/>
      <c r="B150" s="58"/>
      <c r="C150" s="58"/>
      <c r="D150" s="58"/>
      <c r="E150" s="59"/>
      <c r="F150" s="58"/>
      <c r="G150" s="58"/>
      <c r="H150" s="58"/>
      <c r="I150" s="58"/>
      <c r="J150" s="58"/>
      <c r="K150" s="60"/>
    </row>
    <row r="151" spans="1:11" s="52" customFormat="1" ht="12" x14ac:dyDescent="0.2">
      <c r="A151" s="57"/>
      <c r="B151" s="58"/>
      <c r="C151" s="58"/>
      <c r="D151" s="58"/>
      <c r="E151" s="59"/>
      <c r="F151" s="58"/>
      <c r="G151" s="58"/>
      <c r="H151" s="58"/>
      <c r="I151" s="58"/>
      <c r="J151" s="58"/>
      <c r="K151" s="60"/>
    </row>
    <row r="152" spans="1:11" s="52" customFormat="1" ht="12" x14ac:dyDescent="0.2">
      <c r="A152" s="57"/>
      <c r="B152" s="58"/>
      <c r="C152" s="58"/>
      <c r="D152" s="58"/>
      <c r="E152" s="59"/>
      <c r="F152" s="58"/>
      <c r="G152" s="58"/>
      <c r="H152" s="58"/>
      <c r="I152" s="58"/>
      <c r="J152" s="58"/>
      <c r="K152" s="60"/>
    </row>
    <row r="153" spans="1:11" s="52" customFormat="1" ht="12" x14ac:dyDescent="0.2">
      <c r="A153" s="57"/>
      <c r="B153" s="58"/>
      <c r="C153" s="58"/>
      <c r="D153" s="58"/>
      <c r="E153" s="59"/>
      <c r="F153" s="58"/>
      <c r="G153" s="58"/>
      <c r="H153" s="58"/>
      <c r="I153" s="58"/>
      <c r="J153" s="58"/>
      <c r="K153" s="60"/>
    </row>
    <row r="154" spans="1:11" s="52" customFormat="1" ht="12" x14ac:dyDescent="0.2">
      <c r="A154" s="57"/>
      <c r="B154" s="58"/>
      <c r="C154" s="58"/>
      <c r="D154" s="58"/>
      <c r="E154" s="59"/>
      <c r="F154" s="58"/>
      <c r="G154" s="58"/>
      <c r="H154" s="58"/>
      <c r="I154" s="58"/>
      <c r="J154" s="58"/>
      <c r="K154" s="60"/>
    </row>
    <row r="155" spans="1:11" s="52" customFormat="1" ht="12" x14ac:dyDescent="0.2">
      <c r="A155" s="57"/>
      <c r="B155" s="58"/>
      <c r="C155" s="58"/>
      <c r="D155" s="58"/>
      <c r="E155" s="59"/>
      <c r="F155" s="58"/>
      <c r="G155" s="58"/>
      <c r="H155" s="58"/>
      <c r="I155" s="58"/>
      <c r="J155" s="58"/>
      <c r="K155" s="60"/>
    </row>
    <row r="156" spans="1:11" s="52" customFormat="1" ht="12" x14ac:dyDescent="0.2">
      <c r="A156" s="57"/>
      <c r="B156" s="58"/>
      <c r="C156" s="58"/>
      <c r="D156" s="58"/>
      <c r="E156" s="59"/>
      <c r="F156" s="58"/>
      <c r="G156" s="58"/>
      <c r="H156" s="58"/>
      <c r="I156" s="58"/>
      <c r="J156" s="58"/>
      <c r="K156" s="60"/>
    </row>
    <row r="157" spans="1:11" s="52" customFormat="1" ht="12" x14ac:dyDescent="0.2">
      <c r="A157" s="57"/>
      <c r="B157" s="58"/>
      <c r="C157" s="58"/>
      <c r="D157" s="58"/>
      <c r="E157" s="59"/>
      <c r="F157" s="58"/>
      <c r="G157" s="58"/>
      <c r="H157" s="58"/>
      <c r="I157" s="58"/>
      <c r="J157" s="58"/>
      <c r="K157" s="60"/>
    </row>
    <row r="158" spans="1:11" s="52" customFormat="1" ht="12" x14ac:dyDescent="0.2">
      <c r="A158" s="57"/>
      <c r="B158" s="58"/>
      <c r="C158" s="58"/>
      <c r="D158" s="58"/>
      <c r="E158" s="59"/>
      <c r="F158" s="58"/>
      <c r="G158" s="58"/>
      <c r="H158" s="58"/>
      <c r="I158" s="58"/>
      <c r="J158" s="58"/>
      <c r="K158" s="60"/>
    </row>
    <row r="159" spans="1:11" s="52" customFormat="1" ht="12" x14ac:dyDescent="0.2">
      <c r="A159" s="57"/>
      <c r="B159" s="58"/>
      <c r="C159" s="58"/>
      <c r="D159" s="58"/>
      <c r="E159" s="59"/>
      <c r="F159" s="58"/>
      <c r="G159" s="58"/>
      <c r="H159" s="58"/>
      <c r="I159" s="58"/>
      <c r="J159" s="58"/>
      <c r="K159" s="60"/>
    </row>
    <row r="160" spans="1:11" s="52" customFormat="1" ht="12" x14ac:dyDescent="0.2">
      <c r="A160" s="57"/>
      <c r="B160" s="58"/>
      <c r="C160" s="58"/>
      <c r="D160" s="58"/>
      <c r="E160" s="59"/>
      <c r="F160" s="58"/>
      <c r="G160" s="58"/>
      <c r="H160" s="58"/>
      <c r="I160" s="58"/>
      <c r="J160" s="58"/>
      <c r="K160" s="60"/>
    </row>
    <row r="161" spans="1:11" s="52" customFormat="1" ht="12" x14ac:dyDescent="0.2">
      <c r="A161" s="57"/>
      <c r="B161" s="58"/>
      <c r="C161" s="58"/>
      <c r="D161" s="58"/>
      <c r="E161" s="59"/>
      <c r="F161" s="58"/>
      <c r="G161" s="58"/>
      <c r="H161" s="58"/>
      <c r="I161" s="58"/>
      <c r="J161" s="58"/>
      <c r="K161" s="60"/>
    </row>
    <row r="162" spans="1:11" s="52" customFormat="1" ht="12" x14ac:dyDescent="0.2">
      <c r="A162" s="57"/>
      <c r="B162" s="58"/>
      <c r="C162" s="58"/>
      <c r="D162" s="58"/>
      <c r="E162" s="59"/>
      <c r="F162" s="58"/>
      <c r="G162" s="58"/>
      <c r="H162" s="58"/>
      <c r="I162" s="58"/>
      <c r="J162" s="58"/>
      <c r="K162" s="60"/>
    </row>
    <row r="163" spans="1:11" s="52" customFormat="1" ht="12" x14ac:dyDescent="0.2">
      <c r="A163" s="57"/>
      <c r="B163" s="58"/>
      <c r="C163" s="58"/>
      <c r="D163" s="58"/>
      <c r="E163" s="59"/>
      <c r="F163" s="58"/>
      <c r="G163" s="58"/>
      <c r="H163" s="58"/>
      <c r="I163" s="58"/>
      <c r="J163" s="58"/>
      <c r="K163" s="60"/>
    </row>
    <row r="164" spans="1:11" s="52" customFormat="1" ht="12" x14ac:dyDescent="0.2">
      <c r="A164" s="57"/>
      <c r="B164" s="58"/>
      <c r="C164" s="58"/>
      <c r="D164" s="58"/>
      <c r="E164" s="59"/>
      <c r="F164" s="58"/>
      <c r="G164" s="58"/>
      <c r="H164" s="58"/>
      <c r="I164" s="58"/>
      <c r="J164" s="58"/>
      <c r="K164" s="60"/>
    </row>
    <row r="165" spans="1:11" s="52" customFormat="1" ht="12" x14ac:dyDescent="0.2">
      <c r="A165" s="57"/>
      <c r="B165" s="58"/>
      <c r="C165" s="58"/>
      <c r="D165" s="58"/>
      <c r="E165" s="59"/>
      <c r="F165" s="58"/>
      <c r="G165" s="58"/>
      <c r="H165" s="58"/>
      <c r="I165" s="58"/>
      <c r="J165" s="58"/>
      <c r="K165" s="60"/>
    </row>
    <row r="166" spans="1:11" s="52" customFormat="1" ht="12" x14ac:dyDescent="0.2">
      <c r="A166" s="57"/>
      <c r="B166" s="58"/>
      <c r="C166" s="58"/>
      <c r="D166" s="58"/>
      <c r="E166" s="59"/>
      <c r="F166" s="58"/>
      <c r="G166" s="58"/>
      <c r="H166" s="58"/>
      <c r="I166" s="58"/>
      <c r="J166" s="58"/>
      <c r="K166" s="60"/>
    </row>
    <row r="167" spans="1:11" s="52" customFormat="1" ht="12" x14ac:dyDescent="0.2">
      <c r="A167" s="57"/>
      <c r="B167" s="58"/>
      <c r="C167" s="58"/>
      <c r="D167" s="58"/>
      <c r="E167" s="59"/>
      <c r="F167" s="58"/>
      <c r="G167" s="58"/>
      <c r="H167" s="58"/>
      <c r="I167" s="58"/>
      <c r="J167" s="58"/>
      <c r="K167" s="60"/>
    </row>
    <row r="168" spans="1:11" s="52" customFormat="1" ht="12" x14ac:dyDescent="0.2">
      <c r="A168" s="57"/>
      <c r="B168" s="58"/>
      <c r="C168" s="58"/>
      <c r="D168" s="58"/>
      <c r="E168" s="59"/>
      <c r="F168" s="58"/>
      <c r="G168" s="58"/>
      <c r="H168" s="58"/>
      <c r="I168" s="58"/>
      <c r="J168" s="58"/>
      <c r="K168" s="60"/>
    </row>
    <row r="169" spans="1:11" s="52" customFormat="1" ht="12" x14ac:dyDescent="0.2">
      <c r="A169" s="57"/>
      <c r="B169" s="58"/>
      <c r="C169" s="58"/>
      <c r="D169" s="58"/>
      <c r="E169" s="59"/>
      <c r="F169" s="58"/>
      <c r="G169" s="58"/>
      <c r="H169" s="58"/>
      <c r="I169" s="58"/>
      <c r="J169" s="58"/>
      <c r="K169" s="60"/>
    </row>
    <row r="170" spans="1:11" s="52" customFormat="1" ht="12" x14ac:dyDescent="0.2">
      <c r="A170" s="57"/>
      <c r="B170" s="58"/>
      <c r="C170" s="58"/>
      <c r="D170" s="58"/>
      <c r="E170" s="59"/>
      <c r="F170" s="58"/>
      <c r="G170" s="58"/>
      <c r="H170" s="58"/>
      <c r="I170" s="58"/>
      <c r="J170" s="58"/>
      <c r="K170" s="60"/>
    </row>
    <row r="171" spans="1:11" s="52" customFormat="1" ht="12" x14ac:dyDescent="0.2">
      <c r="A171" s="57"/>
      <c r="B171" s="58"/>
      <c r="C171" s="58"/>
      <c r="D171" s="58"/>
      <c r="E171" s="59"/>
      <c r="F171" s="58"/>
      <c r="G171" s="58"/>
      <c r="H171" s="58"/>
      <c r="I171" s="58"/>
      <c r="J171" s="58"/>
      <c r="K171" s="60"/>
    </row>
    <row r="172" spans="1:11" s="52" customFormat="1" ht="12" x14ac:dyDescent="0.2">
      <c r="A172" s="57"/>
      <c r="B172" s="58"/>
      <c r="C172" s="58"/>
      <c r="D172" s="58"/>
      <c r="E172" s="59"/>
      <c r="F172" s="58"/>
      <c r="G172" s="58"/>
      <c r="H172" s="58"/>
      <c r="I172" s="58"/>
      <c r="J172" s="58"/>
      <c r="K172" s="60"/>
    </row>
    <row r="173" spans="1:11" s="52" customFormat="1" ht="12" x14ac:dyDescent="0.2">
      <c r="A173" s="57"/>
      <c r="B173" s="58"/>
      <c r="C173" s="58"/>
      <c r="D173" s="58"/>
      <c r="E173" s="59"/>
      <c r="F173" s="58"/>
      <c r="G173" s="58"/>
      <c r="H173" s="58"/>
      <c r="I173" s="58"/>
      <c r="J173" s="58"/>
      <c r="K173" s="60"/>
    </row>
    <row r="174" spans="1:11" s="52" customFormat="1" ht="12" x14ac:dyDescent="0.2">
      <c r="A174" s="57"/>
      <c r="B174" s="58"/>
      <c r="C174" s="58"/>
      <c r="D174" s="58"/>
      <c r="E174" s="59"/>
      <c r="F174" s="58"/>
      <c r="G174" s="58"/>
      <c r="H174" s="58"/>
      <c r="I174" s="58"/>
      <c r="J174" s="58"/>
      <c r="K174" s="60"/>
    </row>
    <row r="175" spans="1:11" s="52" customFormat="1" ht="12" x14ac:dyDescent="0.2">
      <c r="A175" s="57"/>
      <c r="B175" s="58"/>
      <c r="C175" s="58"/>
      <c r="D175" s="58"/>
      <c r="E175" s="59"/>
      <c r="F175" s="58"/>
      <c r="G175" s="58"/>
      <c r="H175" s="58"/>
      <c r="I175" s="58"/>
      <c r="J175" s="58"/>
      <c r="K175" s="60"/>
    </row>
    <row r="176" spans="1:11" s="52" customFormat="1" ht="12" x14ac:dyDescent="0.2">
      <c r="A176" s="57"/>
      <c r="B176" s="58"/>
      <c r="C176" s="58"/>
      <c r="D176" s="58"/>
      <c r="E176" s="59"/>
      <c r="F176" s="58"/>
      <c r="G176" s="58"/>
      <c r="H176" s="58"/>
      <c r="I176" s="58"/>
      <c r="J176" s="58"/>
      <c r="K176" s="60"/>
    </row>
    <row r="177" spans="1:11" s="52" customFormat="1" ht="12" x14ac:dyDescent="0.2">
      <c r="A177" s="57"/>
      <c r="B177" s="58"/>
      <c r="C177" s="58"/>
      <c r="D177" s="58"/>
      <c r="E177" s="59"/>
      <c r="F177" s="58"/>
      <c r="G177" s="58"/>
      <c r="H177" s="58"/>
      <c r="I177" s="58"/>
      <c r="J177" s="58"/>
      <c r="K177" s="60"/>
    </row>
    <row r="178" spans="1:11" s="52" customFormat="1" ht="12" x14ac:dyDescent="0.2">
      <c r="A178" s="57"/>
      <c r="B178" s="58"/>
      <c r="C178" s="58"/>
      <c r="D178" s="58"/>
      <c r="E178" s="59"/>
      <c r="F178" s="58"/>
      <c r="G178" s="58"/>
      <c r="H178" s="58"/>
      <c r="I178" s="58"/>
      <c r="J178" s="58"/>
      <c r="K178" s="60"/>
    </row>
    <row r="179" spans="1:11" s="52" customFormat="1" ht="12" x14ac:dyDescent="0.2">
      <c r="A179" s="57"/>
      <c r="B179" s="58"/>
      <c r="C179" s="58"/>
      <c r="D179" s="58"/>
      <c r="E179" s="59"/>
      <c r="F179" s="58"/>
      <c r="G179" s="58"/>
      <c r="H179" s="58"/>
      <c r="I179" s="58"/>
      <c r="J179" s="58"/>
      <c r="K179" s="60"/>
    </row>
    <row r="180" spans="1:11" s="52" customFormat="1" ht="12" x14ac:dyDescent="0.2">
      <c r="A180" s="57"/>
      <c r="B180" s="58"/>
      <c r="C180" s="58"/>
      <c r="D180" s="58"/>
      <c r="E180" s="59"/>
      <c r="F180" s="58"/>
      <c r="G180" s="58"/>
      <c r="H180" s="58"/>
      <c r="I180" s="58"/>
      <c r="J180" s="58"/>
      <c r="K180" s="60"/>
    </row>
    <row r="181" spans="1:11" s="52" customFormat="1" ht="12" x14ac:dyDescent="0.2">
      <c r="A181" s="57"/>
      <c r="B181" s="58"/>
      <c r="C181" s="58"/>
      <c r="D181" s="58"/>
      <c r="E181" s="59"/>
      <c r="F181" s="58"/>
      <c r="G181" s="58"/>
      <c r="H181" s="58"/>
      <c r="I181" s="58"/>
      <c r="J181" s="58"/>
      <c r="K181" s="60"/>
    </row>
    <row r="182" spans="1:11" s="52" customFormat="1" ht="12" x14ac:dyDescent="0.2">
      <c r="A182" s="57"/>
      <c r="B182" s="58"/>
      <c r="C182" s="58"/>
      <c r="D182" s="58"/>
      <c r="E182" s="59"/>
      <c r="F182" s="58"/>
      <c r="G182" s="58"/>
      <c r="H182" s="58"/>
      <c r="I182" s="58"/>
      <c r="J182" s="58"/>
      <c r="K182" s="60"/>
    </row>
    <row r="183" spans="1:11" s="52" customFormat="1" ht="12" x14ac:dyDescent="0.2">
      <c r="A183" s="57"/>
      <c r="B183" s="58"/>
      <c r="C183" s="58"/>
      <c r="D183" s="58"/>
      <c r="E183" s="59"/>
      <c r="F183" s="58"/>
      <c r="G183" s="58"/>
      <c r="H183" s="58"/>
      <c r="I183" s="58"/>
      <c r="J183" s="58"/>
      <c r="K183" s="60"/>
    </row>
    <row r="184" spans="1:11" s="52" customFormat="1" ht="12" x14ac:dyDescent="0.2">
      <c r="A184" s="57"/>
      <c r="B184" s="58"/>
      <c r="C184" s="58"/>
      <c r="D184" s="58"/>
      <c r="E184" s="59"/>
      <c r="F184" s="58"/>
      <c r="G184" s="58"/>
      <c r="H184" s="58"/>
      <c r="I184" s="58"/>
      <c r="J184" s="58"/>
      <c r="K184" s="60"/>
    </row>
    <row r="185" spans="1:11" s="52" customFormat="1" ht="12" x14ac:dyDescent="0.2">
      <c r="A185" s="57"/>
      <c r="B185" s="58"/>
      <c r="C185" s="58"/>
      <c r="D185" s="58"/>
      <c r="E185" s="59"/>
      <c r="F185" s="58"/>
      <c r="G185" s="58"/>
      <c r="H185" s="58"/>
      <c r="I185" s="58"/>
      <c r="J185" s="58"/>
      <c r="K185" s="60"/>
    </row>
    <row r="186" spans="1:11" s="52" customFormat="1" ht="12" x14ac:dyDescent="0.2">
      <c r="A186" s="57"/>
      <c r="B186" s="58"/>
      <c r="C186" s="58"/>
      <c r="D186" s="58"/>
      <c r="E186" s="59"/>
      <c r="F186" s="58"/>
      <c r="G186" s="58"/>
      <c r="H186" s="58"/>
      <c r="I186" s="58"/>
      <c r="J186" s="58"/>
      <c r="K186" s="60"/>
    </row>
    <row r="187" spans="1:11" s="52" customFormat="1" ht="12" x14ac:dyDescent="0.2">
      <c r="A187" s="57"/>
      <c r="B187" s="58"/>
      <c r="C187" s="58"/>
      <c r="D187" s="58"/>
      <c r="E187" s="59"/>
      <c r="F187" s="58"/>
      <c r="G187" s="58"/>
      <c r="H187" s="58"/>
      <c r="I187" s="58"/>
      <c r="J187" s="58"/>
      <c r="K187" s="60"/>
    </row>
    <row r="188" spans="1:11" s="52" customFormat="1" ht="12" x14ac:dyDescent="0.2">
      <c r="A188" s="57"/>
      <c r="B188" s="58"/>
      <c r="C188" s="58"/>
      <c r="D188" s="58"/>
      <c r="E188" s="59"/>
      <c r="F188" s="58"/>
      <c r="G188" s="58"/>
      <c r="H188" s="58"/>
      <c r="I188" s="58"/>
      <c r="J188" s="58"/>
      <c r="K188" s="60"/>
    </row>
    <row r="189" spans="1:11" s="52" customFormat="1" ht="12" x14ac:dyDescent="0.2">
      <c r="A189" s="57"/>
      <c r="B189" s="58"/>
      <c r="C189" s="58"/>
      <c r="D189" s="58"/>
      <c r="E189" s="59"/>
      <c r="F189" s="58"/>
      <c r="G189" s="58"/>
      <c r="H189" s="58"/>
      <c r="I189" s="58"/>
      <c r="J189" s="58"/>
      <c r="K189" s="60"/>
    </row>
    <row r="190" spans="1:11" s="52" customFormat="1" ht="12" x14ac:dyDescent="0.2">
      <c r="A190" s="57"/>
      <c r="B190" s="58"/>
      <c r="C190" s="58"/>
      <c r="D190" s="58"/>
      <c r="E190" s="59"/>
      <c r="F190" s="58"/>
      <c r="G190" s="58"/>
      <c r="H190" s="58"/>
      <c r="I190" s="58"/>
      <c r="J190" s="58"/>
      <c r="K190" s="60"/>
    </row>
    <row r="191" spans="1:11" s="52" customFormat="1" ht="12" x14ac:dyDescent="0.2">
      <c r="A191" s="57"/>
      <c r="B191" s="58"/>
      <c r="C191" s="58"/>
      <c r="D191" s="58"/>
      <c r="E191" s="59"/>
      <c r="F191" s="58"/>
      <c r="G191" s="58"/>
      <c r="H191" s="58"/>
      <c r="I191" s="58"/>
      <c r="J191" s="58"/>
      <c r="K191" s="60"/>
    </row>
    <row r="192" spans="1:11" s="52" customFormat="1" ht="12" x14ac:dyDescent="0.2">
      <c r="A192" s="57"/>
      <c r="B192" s="58"/>
      <c r="C192" s="58"/>
      <c r="D192" s="58"/>
      <c r="E192" s="59"/>
      <c r="F192" s="58"/>
      <c r="G192" s="58"/>
      <c r="H192" s="58"/>
      <c r="I192" s="58"/>
      <c r="J192" s="58"/>
      <c r="K192" s="60"/>
    </row>
    <row r="193" spans="1:11" s="52" customFormat="1" ht="12" x14ac:dyDescent="0.2">
      <c r="A193" s="57"/>
      <c r="B193" s="58"/>
      <c r="C193" s="58"/>
      <c r="D193" s="58"/>
      <c r="E193" s="59"/>
      <c r="F193" s="58"/>
      <c r="G193" s="58"/>
      <c r="H193" s="58"/>
      <c r="I193" s="58"/>
      <c r="J193" s="58"/>
      <c r="K193" s="60"/>
    </row>
    <row r="194" spans="1:11" s="52" customFormat="1" ht="12" x14ac:dyDescent="0.2">
      <c r="A194" s="57"/>
      <c r="B194" s="58"/>
      <c r="C194" s="58"/>
      <c r="D194" s="58"/>
      <c r="E194" s="59"/>
      <c r="F194" s="58"/>
      <c r="G194" s="58"/>
      <c r="H194" s="58"/>
      <c r="I194" s="58"/>
      <c r="J194" s="58"/>
      <c r="K194" s="60"/>
    </row>
    <row r="195" spans="1:11" s="52" customFormat="1" ht="12" x14ac:dyDescent="0.2">
      <c r="A195" s="57"/>
      <c r="B195" s="58"/>
      <c r="C195" s="58"/>
      <c r="D195" s="58"/>
      <c r="E195" s="59"/>
      <c r="F195" s="58"/>
      <c r="G195" s="58"/>
      <c r="H195" s="58"/>
      <c r="I195" s="58"/>
      <c r="J195" s="58"/>
      <c r="K195" s="60"/>
    </row>
    <row r="196" spans="1:11" s="52" customFormat="1" ht="12" x14ac:dyDescent="0.2">
      <c r="A196" s="57"/>
      <c r="B196" s="58"/>
      <c r="C196" s="58"/>
      <c r="D196" s="58"/>
      <c r="E196" s="59"/>
      <c r="F196" s="58"/>
      <c r="G196" s="58"/>
      <c r="H196" s="58"/>
      <c r="I196" s="58"/>
      <c r="J196" s="58"/>
      <c r="K196" s="60"/>
    </row>
    <row r="197" spans="1:11" s="52" customFormat="1" ht="12" x14ac:dyDescent="0.2">
      <c r="A197" s="57"/>
      <c r="B197" s="58"/>
      <c r="C197" s="58"/>
      <c r="D197" s="58"/>
      <c r="E197" s="59"/>
      <c r="F197" s="58"/>
      <c r="G197" s="58"/>
      <c r="H197" s="58"/>
      <c r="I197" s="58"/>
      <c r="J197" s="58"/>
      <c r="K197" s="60"/>
    </row>
    <row r="198" spans="1:11" s="52" customFormat="1" ht="12" x14ac:dyDescent="0.2">
      <c r="A198" s="57"/>
      <c r="B198" s="58"/>
      <c r="C198" s="58"/>
      <c r="D198" s="58"/>
      <c r="E198" s="59"/>
      <c r="F198" s="58"/>
      <c r="G198" s="58"/>
      <c r="H198" s="58"/>
      <c r="I198" s="58"/>
      <c r="J198" s="58"/>
      <c r="K198" s="60"/>
    </row>
    <row r="199" spans="1:11" s="52" customFormat="1" ht="12" x14ac:dyDescent="0.2">
      <c r="A199" s="57"/>
      <c r="B199" s="58"/>
      <c r="C199" s="58"/>
      <c r="D199" s="58"/>
      <c r="E199" s="59"/>
      <c r="F199" s="58"/>
      <c r="G199" s="58"/>
      <c r="H199" s="58"/>
      <c r="I199" s="58"/>
      <c r="J199" s="58"/>
      <c r="K199" s="60"/>
    </row>
    <row r="200" spans="1:11" s="52" customFormat="1" ht="12" x14ac:dyDescent="0.2">
      <c r="A200" s="57"/>
      <c r="B200" s="58"/>
      <c r="C200" s="58"/>
      <c r="D200" s="58"/>
      <c r="E200" s="59"/>
      <c r="F200" s="58"/>
      <c r="G200" s="58"/>
      <c r="H200" s="58"/>
      <c r="I200" s="58"/>
      <c r="J200" s="58"/>
      <c r="K200" s="60"/>
    </row>
    <row r="201" spans="1:11" s="52" customFormat="1" ht="12" x14ac:dyDescent="0.2">
      <c r="A201" s="57"/>
      <c r="B201" s="58"/>
      <c r="C201" s="58"/>
      <c r="D201" s="58"/>
      <c r="E201" s="59"/>
      <c r="F201" s="58"/>
      <c r="G201" s="58"/>
      <c r="H201" s="58"/>
      <c r="I201" s="58"/>
      <c r="J201" s="58"/>
      <c r="K201" s="60"/>
    </row>
    <row r="202" spans="1:11" s="52" customFormat="1" ht="12" x14ac:dyDescent="0.2">
      <c r="A202" s="57"/>
      <c r="B202" s="58"/>
      <c r="C202" s="58"/>
      <c r="D202" s="58"/>
      <c r="E202" s="59"/>
      <c r="F202" s="58"/>
      <c r="G202" s="58"/>
      <c r="H202" s="58"/>
      <c r="I202" s="58"/>
      <c r="J202" s="58"/>
      <c r="K202" s="60"/>
    </row>
    <row r="203" spans="1:11" s="52" customFormat="1" ht="12" x14ac:dyDescent="0.2">
      <c r="A203" s="57"/>
      <c r="B203" s="58"/>
      <c r="C203" s="58"/>
      <c r="D203" s="58"/>
      <c r="E203" s="59"/>
      <c r="F203" s="58"/>
      <c r="G203" s="58"/>
      <c r="H203" s="58"/>
      <c r="I203" s="58"/>
      <c r="J203" s="58"/>
      <c r="K203" s="60"/>
    </row>
    <row r="204" spans="1:11" s="52" customFormat="1" ht="12" x14ac:dyDescent="0.2">
      <c r="A204" s="57"/>
      <c r="B204" s="58"/>
      <c r="C204" s="58"/>
      <c r="D204" s="58"/>
      <c r="E204" s="59"/>
      <c r="F204" s="58"/>
      <c r="G204" s="58"/>
      <c r="H204" s="58"/>
      <c r="I204" s="58"/>
      <c r="J204" s="58"/>
      <c r="K204" s="60"/>
    </row>
    <row r="205" spans="1:11" s="52" customFormat="1" ht="12" x14ac:dyDescent="0.2">
      <c r="A205" s="57"/>
      <c r="B205" s="58"/>
      <c r="C205" s="58"/>
      <c r="D205" s="58"/>
      <c r="E205" s="59"/>
      <c r="F205" s="58"/>
      <c r="G205" s="58"/>
      <c r="H205" s="58"/>
      <c r="I205" s="58"/>
      <c r="J205" s="58"/>
      <c r="K205" s="60"/>
    </row>
    <row r="206" spans="1:11" s="52" customFormat="1" ht="12" x14ac:dyDescent="0.2">
      <c r="A206" s="57"/>
      <c r="B206" s="58"/>
      <c r="C206" s="58"/>
      <c r="D206" s="58"/>
      <c r="E206" s="59"/>
      <c r="F206" s="58"/>
      <c r="G206" s="58"/>
      <c r="H206" s="58"/>
      <c r="I206" s="58"/>
      <c r="J206" s="58"/>
      <c r="K206" s="60"/>
    </row>
    <row r="207" spans="1:11" s="52" customFormat="1" ht="12" x14ac:dyDescent="0.2">
      <c r="A207" s="57"/>
      <c r="B207" s="58"/>
      <c r="C207" s="58"/>
      <c r="D207" s="58"/>
      <c r="E207" s="59"/>
      <c r="F207" s="58"/>
      <c r="G207" s="58"/>
      <c r="H207" s="58"/>
      <c r="I207" s="58"/>
      <c r="J207" s="58"/>
      <c r="K207" s="60"/>
    </row>
    <row r="208" spans="1:11" s="52" customFormat="1" ht="12" x14ac:dyDescent="0.2">
      <c r="A208" s="57"/>
      <c r="B208" s="58"/>
      <c r="C208" s="58"/>
      <c r="D208" s="58"/>
      <c r="E208" s="59"/>
      <c r="F208" s="58"/>
      <c r="G208" s="58"/>
      <c r="H208" s="58"/>
      <c r="I208" s="58"/>
      <c r="J208" s="58"/>
      <c r="K208" s="60"/>
    </row>
    <row r="209" spans="1:11" s="52" customFormat="1" ht="12" x14ac:dyDescent="0.2">
      <c r="A209" s="57"/>
      <c r="B209" s="58"/>
      <c r="C209" s="58"/>
      <c r="D209" s="58"/>
      <c r="E209" s="59"/>
      <c r="F209" s="58"/>
      <c r="G209" s="58"/>
      <c r="H209" s="58"/>
      <c r="I209" s="58"/>
      <c r="J209" s="58"/>
      <c r="K209" s="60"/>
    </row>
    <row r="210" spans="1:11" s="52" customFormat="1" ht="12" x14ac:dyDescent="0.2">
      <c r="A210" s="57"/>
      <c r="B210" s="58"/>
      <c r="C210" s="58"/>
      <c r="D210" s="58"/>
      <c r="E210" s="59"/>
      <c r="F210" s="58"/>
      <c r="G210" s="58"/>
      <c r="H210" s="58"/>
      <c r="I210" s="58"/>
      <c r="J210" s="58"/>
      <c r="K210" s="60"/>
    </row>
    <row r="211" spans="1:11" s="52" customFormat="1" ht="12" x14ac:dyDescent="0.2">
      <c r="A211" s="57"/>
      <c r="B211" s="58"/>
      <c r="C211" s="58"/>
      <c r="D211" s="58"/>
      <c r="E211" s="59"/>
      <c r="F211" s="58"/>
      <c r="G211" s="58"/>
      <c r="H211" s="58"/>
      <c r="I211" s="58"/>
      <c r="J211" s="58"/>
      <c r="K211" s="60"/>
    </row>
    <row r="212" spans="1:11" s="52" customFormat="1" ht="12" x14ac:dyDescent="0.2">
      <c r="A212" s="57"/>
      <c r="B212" s="58"/>
      <c r="C212" s="58"/>
      <c r="D212" s="58"/>
      <c r="E212" s="59"/>
      <c r="F212" s="58"/>
      <c r="G212" s="58"/>
      <c r="H212" s="58"/>
      <c r="I212" s="58"/>
      <c r="J212" s="58"/>
      <c r="K212" s="60"/>
    </row>
    <row r="213" spans="1:11" s="52" customFormat="1" ht="12" x14ac:dyDescent="0.2">
      <c r="A213" s="57"/>
      <c r="B213" s="58"/>
      <c r="C213" s="58"/>
      <c r="D213" s="58"/>
      <c r="E213" s="59"/>
      <c r="F213" s="58"/>
      <c r="G213" s="58"/>
      <c r="H213" s="58"/>
      <c r="I213" s="58"/>
      <c r="J213" s="58"/>
      <c r="K213" s="60"/>
    </row>
    <row r="214" spans="1:11" s="52" customFormat="1" ht="12" x14ac:dyDescent="0.2">
      <c r="A214" s="57"/>
      <c r="B214" s="58"/>
      <c r="C214" s="58"/>
      <c r="D214" s="58"/>
      <c r="E214" s="59"/>
      <c r="F214" s="58"/>
      <c r="G214" s="58"/>
      <c r="H214" s="58"/>
      <c r="I214" s="58"/>
      <c r="J214" s="58"/>
      <c r="K214" s="60"/>
    </row>
    <row r="215" spans="1:11" s="52" customFormat="1" ht="12" x14ac:dyDescent="0.2">
      <c r="A215" s="57"/>
      <c r="B215" s="58"/>
      <c r="C215" s="58"/>
      <c r="D215" s="58"/>
      <c r="E215" s="59"/>
      <c r="F215" s="58"/>
      <c r="G215" s="58"/>
      <c r="H215" s="58"/>
      <c r="I215" s="58"/>
      <c r="J215" s="58"/>
      <c r="K215" s="60"/>
    </row>
    <row r="216" spans="1:11" s="52" customFormat="1" ht="12" x14ac:dyDescent="0.2">
      <c r="A216" s="57"/>
      <c r="B216" s="58"/>
      <c r="C216" s="58"/>
      <c r="D216" s="58"/>
      <c r="E216" s="59"/>
      <c r="F216" s="58"/>
      <c r="G216" s="58"/>
      <c r="H216" s="58"/>
      <c r="I216" s="58"/>
      <c r="J216" s="58"/>
      <c r="K216" s="60"/>
    </row>
    <row r="217" spans="1:11" s="52" customFormat="1" ht="12" x14ac:dyDescent="0.2">
      <c r="A217" s="57"/>
      <c r="B217" s="58"/>
      <c r="C217" s="58"/>
      <c r="D217" s="58"/>
      <c r="E217" s="59"/>
      <c r="F217" s="58"/>
      <c r="G217" s="58"/>
      <c r="H217" s="58"/>
      <c r="I217" s="58"/>
      <c r="J217" s="58"/>
      <c r="K217" s="60"/>
    </row>
    <row r="218" spans="1:11" s="52" customFormat="1" ht="12" x14ac:dyDescent="0.2">
      <c r="A218" s="57"/>
      <c r="B218" s="58"/>
      <c r="C218" s="58"/>
      <c r="D218" s="58"/>
      <c r="E218" s="59"/>
      <c r="F218" s="58"/>
      <c r="G218" s="58"/>
      <c r="H218" s="58"/>
      <c r="I218" s="58"/>
      <c r="J218" s="58"/>
      <c r="K218" s="60"/>
    </row>
    <row r="219" spans="1:11" s="52" customFormat="1" ht="12" x14ac:dyDescent="0.2">
      <c r="A219" s="57"/>
      <c r="B219" s="58"/>
      <c r="C219" s="58"/>
      <c r="D219" s="58"/>
      <c r="E219" s="59"/>
      <c r="F219" s="58"/>
      <c r="G219" s="58"/>
      <c r="H219" s="58"/>
      <c r="I219" s="58"/>
      <c r="J219" s="58"/>
      <c r="K219" s="60"/>
    </row>
    <row r="220" spans="1:11" s="52" customFormat="1" ht="12" x14ac:dyDescent="0.2">
      <c r="A220" s="57"/>
      <c r="B220" s="58"/>
      <c r="C220" s="58"/>
      <c r="D220" s="58"/>
      <c r="E220" s="59"/>
      <c r="F220" s="58"/>
      <c r="G220" s="58"/>
      <c r="H220" s="58"/>
      <c r="I220" s="58"/>
      <c r="J220" s="58"/>
      <c r="K220" s="60"/>
    </row>
    <row r="221" spans="1:11" s="52" customFormat="1" ht="12" x14ac:dyDescent="0.2">
      <c r="A221" s="57"/>
      <c r="B221" s="58"/>
      <c r="C221" s="58"/>
      <c r="D221" s="58"/>
      <c r="E221" s="59"/>
      <c r="F221" s="58"/>
      <c r="G221" s="58"/>
      <c r="H221" s="58"/>
      <c r="I221" s="58"/>
      <c r="J221" s="58"/>
      <c r="K221" s="60"/>
    </row>
    <row r="222" spans="1:11" s="52" customFormat="1" ht="12" x14ac:dyDescent="0.2">
      <c r="A222" s="57"/>
      <c r="B222" s="58"/>
      <c r="C222" s="58"/>
      <c r="D222" s="58"/>
      <c r="E222" s="59"/>
      <c r="F222" s="58"/>
      <c r="G222" s="58"/>
      <c r="H222" s="58"/>
      <c r="I222" s="58"/>
      <c r="J222" s="58"/>
      <c r="K222" s="60"/>
    </row>
    <row r="223" spans="1:11" s="52" customFormat="1" ht="12" x14ac:dyDescent="0.2">
      <c r="A223" s="57"/>
      <c r="B223" s="58"/>
      <c r="C223" s="58"/>
      <c r="D223" s="58"/>
      <c r="E223" s="59"/>
      <c r="F223" s="58"/>
      <c r="G223" s="58"/>
      <c r="H223" s="58"/>
      <c r="I223" s="58"/>
      <c r="J223" s="58"/>
      <c r="K223" s="60"/>
    </row>
    <row r="224" spans="1:11" s="52" customFormat="1" ht="12" x14ac:dyDescent="0.2">
      <c r="A224" s="57"/>
      <c r="B224" s="58"/>
      <c r="C224" s="58"/>
      <c r="D224" s="58"/>
      <c r="E224" s="59"/>
      <c r="F224" s="58"/>
      <c r="G224" s="58"/>
      <c r="H224" s="58"/>
      <c r="I224" s="58"/>
      <c r="J224" s="58"/>
      <c r="K224" s="60"/>
    </row>
    <row r="225" spans="1:11" s="52" customFormat="1" ht="12" x14ac:dyDescent="0.2">
      <c r="A225" s="57"/>
      <c r="B225" s="58"/>
      <c r="C225" s="58"/>
      <c r="D225" s="58"/>
      <c r="E225" s="59"/>
      <c r="F225" s="58"/>
      <c r="G225" s="58"/>
      <c r="H225" s="58"/>
      <c r="I225" s="58"/>
      <c r="J225" s="58"/>
      <c r="K225" s="60"/>
    </row>
    <row r="226" spans="1:11" s="52" customFormat="1" ht="12" x14ac:dyDescent="0.2">
      <c r="A226" s="57"/>
      <c r="B226" s="58"/>
      <c r="C226" s="58"/>
      <c r="D226" s="58"/>
      <c r="E226" s="59"/>
      <c r="F226" s="58"/>
      <c r="G226" s="58"/>
      <c r="H226" s="58"/>
      <c r="I226" s="58"/>
      <c r="J226" s="58"/>
      <c r="K226" s="60"/>
    </row>
    <row r="227" spans="1:11" s="52" customFormat="1" ht="12" x14ac:dyDescent="0.2">
      <c r="A227" s="57"/>
      <c r="B227" s="58"/>
      <c r="C227" s="58"/>
      <c r="D227" s="58"/>
      <c r="E227" s="59"/>
      <c r="F227" s="58"/>
      <c r="G227" s="58"/>
      <c r="H227" s="58"/>
      <c r="I227" s="58"/>
      <c r="J227" s="58"/>
      <c r="K227" s="60"/>
    </row>
    <row r="228" spans="1:11" s="52" customFormat="1" ht="12" x14ac:dyDescent="0.2">
      <c r="A228" s="57"/>
      <c r="B228" s="58"/>
      <c r="C228" s="58"/>
      <c r="D228" s="58"/>
      <c r="E228" s="59"/>
      <c r="F228" s="58"/>
      <c r="G228" s="58"/>
      <c r="H228" s="58"/>
      <c r="I228" s="58"/>
      <c r="J228" s="58"/>
      <c r="K228" s="60"/>
    </row>
    <row r="229" spans="1:11" s="52" customFormat="1" ht="12" x14ac:dyDescent="0.2">
      <c r="A229" s="57"/>
      <c r="B229" s="58"/>
      <c r="C229" s="58"/>
      <c r="D229" s="58"/>
      <c r="E229" s="59"/>
      <c r="F229" s="58"/>
      <c r="G229" s="58"/>
      <c r="H229" s="58"/>
      <c r="I229" s="58"/>
      <c r="J229" s="58"/>
      <c r="K229" s="60"/>
    </row>
    <row r="230" spans="1:11" s="52" customFormat="1" ht="12" x14ac:dyDescent="0.2">
      <c r="A230" s="57"/>
      <c r="B230" s="58"/>
      <c r="C230" s="58"/>
      <c r="D230" s="58"/>
      <c r="E230" s="59"/>
      <c r="F230" s="58"/>
      <c r="G230" s="58"/>
      <c r="H230" s="58"/>
      <c r="I230" s="58"/>
      <c r="J230" s="58"/>
      <c r="K230" s="60"/>
    </row>
    <row r="231" spans="1:11" s="52" customFormat="1" ht="12" x14ac:dyDescent="0.2">
      <c r="A231" s="57"/>
      <c r="B231" s="58"/>
      <c r="C231" s="58"/>
      <c r="D231" s="58"/>
      <c r="E231" s="59"/>
      <c r="F231" s="58"/>
      <c r="G231" s="58"/>
      <c r="H231" s="58"/>
      <c r="I231" s="58"/>
      <c r="J231" s="58"/>
      <c r="K231" s="60"/>
    </row>
    <row r="232" spans="1:11" s="52" customFormat="1" ht="12" x14ac:dyDescent="0.2">
      <c r="A232" s="57"/>
      <c r="B232" s="58"/>
      <c r="C232" s="58"/>
      <c r="D232" s="58"/>
      <c r="E232" s="59"/>
      <c r="F232" s="58"/>
      <c r="G232" s="58"/>
      <c r="H232" s="58"/>
      <c r="I232" s="58"/>
      <c r="J232" s="58"/>
      <c r="K232" s="60"/>
    </row>
    <row r="233" spans="1:11" s="52" customFormat="1" ht="12" x14ac:dyDescent="0.2">
      <c r="A233" s="57"/>
      <c r="B233" s="58"/>
      <c r="C233" s="58"/>
      <c r="D233" s="58"/>
      <c r="E233" s="59"/>
      <c r="F233" s="58"/>
      <c r="G233" s="58"/>
      <c r="H233" s="58"/>
      <c r="I233" s="58"/>
      <c r="J233" s="58"/>
      <c r="K233" s="60"/>
    </row>
    <row r="234" spans="1:11" s="52" customFormat="1" ht="12" x14ac:dyDescent="0.2">
      <c r="A234" s="57"/>
      <c r="B234" s="58"/>
      <c r="C234" s="58"/>
      <c r="D234" s="58"/>
      <c r="E234" s="59"/>
      <c r="F234" s="58"/>
      <c r="G234" s="58"/>
      <c r="H234" s="58"/>
      <c r="I234" s="58"/>
      <c r="J234" s="58"/>
      <c r="K234" s="60"/>
    </row>
    <row r="235" spans="1:11" s="52" customFormat="1" ht="12" x14ac:dyDescent="0.2">
      <c r="A235" s="57"/>
      <c r="B235" s="58"/>
      <c r="C235" s="58"/>
      <c r="D235" s="58"/>
      <c r="E235" s="59"/>
      <c r="F235" s="58"/>
      <c r="G235" s="58"/>
      <c r="H235" s="58"/>
      <c r="I235" s="58"/>
      <c r="J235" s="58"/>
      <c r="K235" s="60"/>
    </row>
    <row r="236" spans="1:11" s="52" customFormat="1" ht="12" x14ac:dyDescent="0.2">
      <c r="A236" s="57"/>
      <c r="B236" s="58"/>
      <c r="C236" s="58"/>
      <c r="D236" s="58"/>
      <c r="E236" s="59"/>
      <c r="F236" s="58"/>
      <c r="G236" s="58"/>
      <c r="H236" s="58"/>
      <c r="I236" s="58"/>
      <c r="J236" s="58"/>
      <c r="K236" s="60"/>
    </row>
    <row r="237" spans="1:11" s="52" customFormat="1" ht="12" x14ac:dyDescent="0.2">
      <c r="A237" s="57"/>
      <c r="B237" s="58"/>
      <c r="C237" s="58"/>
      <c r="D237" s="58"/>
      <c r="E237" s="59"/>
      <c r="F237" s="58"/>
      <c r="G237" s="58"/>
      <c r="H237" s="58"/>
      <c r="I237" s="58"/>
      <c r="J237" s="58"/>
      <c r="K237" s="60"/>
    </row>
    <row r="238" spans="1:11" s="52" customFormat="1" ht="12" x14ac:dyDescent="0.2">
      <c r="A238" s="57"/>
      <c r="B238" s="58"/>
      <c r="C238" s="58"/>
      <c r="D238" s="58"/>
      <c r="E238" s="59"/>
      <c r="F238" s="58"/>
      <c r="G238" s="58"/>
      <c r="H238" s="58"/>
      <c r="I238" s="58"/>
      <c r="J238" s="58"/>
      <c r="K238" s="60"/>
    </row>
    <row r="239" spans="1:11" s="52" customFormat="1" ht="12" x14ac:dyDescent="0.2">
      <c r="A239" s="57"/>
      <c r="B239" s="58"/>
      <c r="C239" s="58"/>
      <c r="D239" s="58"/>
      <c r="E239" s="59"/>
      <c r="F239" s="58"/>
      <c r="G239" s="58"/>
      <c r="H239" s="58"/>
      <c r="I239" s="58"/>
      <c r="J239" s="58"/>
      <c r="K239" s="60"/>
    </row>
    <row r="240" spans="1:11" s="52" customFormat="1" ht="12" x14ac:dyDescent="0.2">
      <c r="A240" s="57"/>
      <c r="B240" s="58"/>
      <c r="C240" s="58"/>
      <c r="D240" s="58"/>
      <c r="E240" s="59"/>
      <c r="F240" s="58"/>
      <c r="G240" s="58"/>
      <c r="H240" s="58"/>
      <c r="I240" s="58"/>
      <c r="J240" s="58"/>
      <c r="K240" s="60"/>
    </row>
    <row r="241" spans="1:11" s="52" customFormat="1" ht="12" x14ac:dyDescent="0.2">
      <c r="A241" s="57"/>
      <c r="B241" s="58"/>
      <c r="C241" s="58"/>
      <c r="D241" s="58"/>
      <c r="E241" s="59"/>
      <c r="F241" s="58"/>
      <c r="G241" s="58"/>
      <c r="H241" s="58"/>
      <c r="I241" s="58"/>
      <c r="J241" s="58"/>
      <c r="K241" s="60"/>
    </row>
    <row r="242" spans="1:11" s="52" customFormat="1" ht="12" x14ac:dyDescent="0.2">
      <c r="A242" s="57"/>
      <c r="B242" s="58"/>
      <c r="C242" s="58"/>
      <c r="D242" s="58"/>
      <c r="E242" s="59"/>
      <c r="F242" s="58"/>
      <c r="G242" s="58"/>
      <c r="H242" s="58"/>
      <c r="I242" s="58"/>
      <c r="J242" s="58"/>
      <c r="K242" s="60"/>
    </row>
    <row r="243" spans="1:11" s="52" customFormat="1" ht="12" x14ac:dyDescent="0.2">
      <c r="A243" s="57"/>
      <c r="B243" s="58"/>
      <c r="C243" s="58"/>
      <c r="D243" s="58"/>
      <c r="E243" s="59"/>
      <c r="F243" s="58"/>
      <c r="G243" s="58"/>
      <c r="H243" s="58"/>
      <c r="I243" s="58"/>
      <c r="J243" s="58"/>
      <c r="K243" s="60"/>
    </row>
    <row r="244" spans="1:11" s="52" customFormat="1" ht="12" x14ac:dyDescent="0.2">
      <c r="A244" s="57"/>
      <c r="B244" s="58"/>
      <c r="C244" s="58"/>
      <c r="D244" s="58"/>
      <c r="E244" s="59"/>
      <c r="F244" s="58"/>
      <c r="G244" s="58"/>
      <c r="H244" s="58"/>
      <c r="I244" s="58"/>
      <c r="J244" s="58"/>
      <c r="K244" s="60"/>
    </row>
    <row r="245" spans="1:11" s="52" customFormat="1" ht="12" x14ac:dyDescent="0.2">
      <c r="A245" s="57"/>
      <c r="B245" s="58"/>
      <c r="C245" s="58"/>
      <c r="D245" s="58"/>
      <c r="E245" s="59"/>
      <c r="F245" s="58"/>
      <c r="G245" s="58"/>
      <c r="H245" s="58"/>
      <c r="I245" s="58"/>
      <c r="J245" s="58"/>
      <c r="K245" s="60"/>
    </row>
    <row r="246" spans="1:11" s="52" customFormat="1" ht="12" x14ac:dyDescent="0.2">
      <c r="A246" s="57"/>
      <c r="B246" s="58"/>
      <c r="C246" s="58"/>
      <c r="D246" s="58"/>
      <c r="E246" s="59"/>
      <c r="F246" s="58"/>
      <c r="G246" s="58"/>
      <c r="H246" s="58"/>
      <c r="I246" s="58"/>
      <c r="J246" s="58"/>
      <c r="K246" s="60"/>
    </row>
    <row r="247" spans="1:11" s="52" customFormat="1" ht="12" x14ac:dyDescent="0.2">
      <c r="A247" s="57"/>
      <c r="B247" s="58"/>
      <c r="C247" s="58"/>
      <c r="D247" s="58"/>
      <c r="E247" s="59"/>
      <c r="F247" s="58"/>
      <c r="G247" s="58"/>
      <c r="H247" s="58"/>
      <c r="I247" s="58"/>
      <c r="J247" s="58"/>
      <c r="K247" s="60"/>
    </row>
    <row r="248" spans="1:11" s="52" customFormat="1" ht="12" x14ac:dyDescent="0.2">
      <c r="A248" s="57"/>
      <c r="B248" s="58"/>
      <c r="C248" s="58"/>
      <c r="D248" s="58"/>
      <c r="E248" s="59"/>
      <c r="F248" s="58"/>
      <c r="G248" s="58"/>
      <c r="H248" s="58"/>
      <c r="I248" s="58"/>
      <c r="J248" s="58"/>
      <c r="K248" s="60"/>
    </row>
    <row r="249" spans="1:11" s="52" customFormat="1" ht="12" x14ac:dyDescent="0.2">
      <c r="A249" s="57"/>
      <c r="B249" s="58"/>
      <c r="C249" s="58"/>
      <c r="D249" s="58"/>
      <c r="E249" s="59"/>
      <c r="F249" s="58"/>
      <c r="G249" s="58"/>
      <c r="H249" s="58"/>
      <c r="I249" s="58"/>
      <c r="J249" s="58"/>
      <c r="K249" s="60"/>
    </row>
    <row r="250" spans="1:11" s="52" customFormat="1" ht="12" x14ac:dyDescent="0.2">
      <c r="A250" s="57"/>
      <c r="B250" s="58"/>
      <c r="C250" s="58"/>
      <c r="D250" s="58"/>
      <c r="E250" s="59"/>
      <c r="F250" s="58"/>
      <c r="G250" s="58"/>
      <c r="H250" s="58"/>
      <c r="I250" s="58"/>
      <c r="J250" s="58"/>
      <c r="K250" s="60"/>
    </row>
    <row r="251" spans="1:11" s="52" customFormat="1" ht="12" x14ac:dyDescent="0.2">
      <c r="A251" s="57"/>
      <c r="B251" s="58"/>
      <c r="C251" s="58"/>
      <c r="D251" s="58"/>
      <c r="E251" s="59"/>
      <c r="F251" s="58"/>
      <c r="G251" s="58"/>
      <c r="H251" s="58"/>
      <c r="I251" s="58"/>
      <c r="J251" s="58"/>
      <c r="K251" s="60"/>
    </row>
    <row r="252" spans="1:11" s="52" customFormat="1" ht="12" x14ac:dyDescent="0.2">
      <c r="A252" s="57"/>
      <c r="B252" s="58"/>
      <c r="C252" s="58"/>
      <c r="D252" s="58"/>
      <c r="E252" s="59"/>
      <c r="F252" s="58"/>
      <c r="G252" s="58"/>
      <c r="H252" s="58"/>
      <c r="I252" s="58"/>
      <c r="J252" s="58"/>
      <c r="K252" s="60"/>
    </row>
    <row r="253" spans="1:11" s="52" customFormat="1" ht="12" x14ac:dyDescent="0.2">
      <c r="A253" s="57"/>
      <c r="B253" s="58"/>
      <c r="C253" s="58"/>
      <c r="D253" s="58"/>
      <c r="E253" s="59"/>
      <c r="F253" s="58"/>
      <c r="G253" s="58"/>
      <c r="H253" s="58"/>
      <c r="I253" s="58"/>
      <c r="J253" s="58"/>
      <c r="K253" s="60"/>
    </row>
    <row r="254" spans="1:11" s="52" customFormat="1" ht="12" x14ac:dyDescent="0.2">
      <c r="A254" s="57"/>
      <c r="B254" s="58"/>
      <c r="C254" s="58"/>
      <c r="D254" s="58"/>
      <c r="E254" s="59"/>
      <c r="F254" s="58"/>
      <c r="G254" s="58"/>
      <c r="H254" s="58"/>
      <c r="I254" s="58"/>
      <c r="J254" s="58"/>
      <c r="K254" s="60"/>
    </row>
    <row r="255" spans="1:11" s="52" customFormat="1" ht="12" x14ac:dyDescent="0.2">
      <c r="A255" s="57"/>
      <c r="B255" s="58"/>
      <c r="C255" s="58"/>
      <c r="D255" s="58"/>
      <c r="E255" s="59"/>
      <c r="F255" s="58"/>
      <c r="G255" s="58"/>
      <c r="H255" s="58"/>
      <c r="I255" s="58"/>
      <c r="J255" s="58"/>
      <c r="K255" s="60"/>
    </row>
    <row r="256" spans="1:11" s="52" customFormat="1" ht="12" x14ac:dyDescent="0.2">
      <c r="A256" s="57"/>
      <c r="B256" s="58"/>
      <c r="C256" s="58"/>
      <c r="D256" s="58"/>
      <c r="E256" s="59"/>
      <c r="F256" s="58"/>
      <c r="G256" s="58"/>
      <c r="H256" s="58"/>
      <c r="I256" s="58"/>
      <c r="J256" s="58"/>
      <c r="K256" s="60"/>
    </row>
    <row r="257" spans="1:11" s="52" customFormat="1" ht="12" x14ac:dyDescent="0.2">
      <c r="A257" s="57"/>
      <c r="B257" s="58"/>
      <c r="C257" s="58"/>
      <c r="D257" s="58"/>
      <c r="E257" s="59"/>
      <c r="F257" s="58"/>
      <c r="G257" s="58"/>
      <c r="H257" s="58"/>
      <c r="I257" s="58"/>
      <c r="J257" s="58"/>
      <c r="K257" s="60"/>
    </row>
    <row r="258" spans="1:11" s="52" customFormat="1" ht="12" x14ac:dyDescent="0.2">
      <c r="A258" s="57"/>
      <c r="B258" s="58"/>
      <c r="C258" s="58"/>
      <c r="D258" s="58"/>
      <c r="E258" s="59"/>
      <c r="F258" s="58"/>
      <c r="G258" s="58"/>
      <c r="H258" s="58"/>
      <c r="I258" s="58"/>
      <c r="J258" s="58"/>
      <c r="K258" s="60"/>
    </row>
    <row r="259" spans="1:11" s="52" customFormat="1" ht="12" x14ac:dyDescent="0.2">
      <c r="A259" s="57"/>
      <c r="B259" s="58"/>
      <c r="C259" s="58"/>
      <c r="D259" s="58"/>
      <c r="E259" s="59"/>
      <c r="F259" s="58"/>
      <c r="G259" s="58"/>
      <c r="H259" s="58"/>
      <c r="I259" s="58"/>
      <c r="J259" s="58"/>
      <c r="K259" s="60"/>
    </row>
    <row r="260" spans="1:11" s="52" customFormat="1" ht="12" x14ac:dyDescent="0.2">
      <c r="A260" s="57"/>
      <c r="B260" s="58"/>
      <c r="C260" s="58"/>
      <c r="D260" s="58"/>
      <c r="E260" s="59"/>
      <c r="F260" s="58"/>
      <c r="G260" s="58"/>
      <c r="H260" s="58"/>
      <c r="I260" s="58"/>
      <c r="J260" s="58"/>
      <c r="K260" s="60"/>
    </row>
    <row r="261" spans="1:11" s="52" customFormat="1" ht="12" x14ac:dyDescent="0.2">
      <c r="A261" s="57"/>
      <c r="B261" s="58"/>
      <c r="C261" s="58"/>
      <c r="D261" s="58"/>
      <c r="E261" s="59"/>
      <c r="F261" s="58"/>
      <c r="G261" s="58"/>
      <c r="H261" s="58"/>
      <c r="I261" s="58"/>
      <c r="J261" s="58"/>
      <c r="K261" s="60"/>
    </row>
    <row r="262" spans="1:11" s="52" customFormat="1" ht="12" x14ac:dyDescent="0.2">
      <c r="A262" s="57"/>
      <c r="B262" s="58"/>
      <c r="C262" s="58"/>
      <c r="D262" s="58"/>
      <c r="E262" s="59"/>
      <c r="F262" s="58"/>
      <c r="G262" s="58"/>
      <c r="H262" s="58"/>
      <c r="I262" s="58"/>
      <c r="J262" s="58"/>
      <c r="K262" s="60"/>
    </row>
    <row r="263" spans="1:11" s="52" customFormat="1" ht="12" x14ac:dyDescent="0.2">
      <c r="A263" s="57"/>
      <c r="B263" s="58"/>
      <c r="C263" s="58"/>
      <c r="D263" s="58"/>
      <c r="E263" s="59"/>
      <c r="F263" s="58"/>
      <c r="G263" s="58"/>
      <c r="H263" s="58"/>
      <c r="I263" s="58"/>
      <c r="J263" s="58"/>
      <c r="K263" s="60"/>
    </row>
    <row r="264" spans="1:11" s="52" customFormat="1" ht="12" x14ac:dyDescent="0.2">
      <c r="A264" s="57"/>
      <c r="B264" s="58"/>
      <c r="C264" s="58"/>
      <c r="D264" s="58"/>
      <c r="E264" s="59"/>
      <c r="F264" s="58"/>
      <c r="G264" s="58"/>
      <c r="H264" s="58"/>
      <c r="I264" s="58"/>
      <c r="J264" s="58"/>
      <c r="K264" s="60"/>
    </row>
    <row r="265" spans="1:11" s="52" customFormat="1" ht="12" x14ac:dyDescent="0.2">
      <c r="A265" s="57"/>
      <c r="B265" s="58"/>
      <c r="C265" s="58"/>
      <c r="D265" s="58"/>
      <c r="E265" s="59"/>
      <c r="F265" s="58"/>
      <c r="G265" s="58"/>
      <c r="H265" s="58"/>
      <c r="I265" s="58"/>
      <c r="J265" s="58"/>
      <c r="K265" s="60"/>
    </row>
    <row r="266" spans="1:11" s="52" customFormat="1" ht="12" x14ac:dyDescent="0.2">
      <c r="A266" s="57"/>
      <c r="B266" s="58"/>
      <c r="C266" s="58"/>
      <c r="D266" s="58"/>
      <c r="E266" s="59"/>
      <c r="F266" s="58"/>
      <c r="G266" s="58"/>
      <c r="H266" s="58"/>
      <c r="I266" s="58"/>
      <c r="J266" s="58"/>
      <c r="K266" s="60"/>
    </row>
    <row r="267" spans="1:11" s="52" customFormat="1" ht="12" x14ac:dyDescent="0.2">
      <c r="A267" s="57"/>
      <c r="B267" s="58"/>
      <c r="C267" s="58"/>
      <c r="D267" s="58"/>
      <c r="E267" s="59"/>
      <c r="F267" s="58"/>
      <c r="G267" s="58"/>
      <c r="H267" s="58"/>
      <c r="I267" s="58"/>
      <c r="J267" s="58"/>
      <c r="K267" s="60"/>
    </row>
    <row r="268" spans="1:11" s="52" customFormat="1" ht="12" x14ac:dyDescent="0.2">
      <c r="A268" s="57"/>
      <c r="B268" s="58"/>
      <c r="C268" s="58"/>
      <c r="D268" s="58"/>
      <c r="E268" s="59"/>
      <c r="F268" s="58"/>
      <c r="G268" s="58"/>
      <c r="H268" s="58"/>
      <c r="I268" s="58"/>
      <c r="J268" s="58"/>
      <c r="K268" s="60"/>
    </row>
    <row r="269" spans="1:11" s="52" customFormat="1" ht="12" x14ac:dyDescent="0.2">
      <c r="A269" s="57"/>
      <c r="B269" s="58"/>
      <c r="C269" s="58"/>
      <c r="D269" s="58"/>
      <c r="E269" s="59"/>
      <c r="F269" s="58"/>
      <c r="G269" s="58"/>
      <c r="H269" s="58"/>
      <c r="I269" s="58"/>
      <c r="J269" s="58"/>
      <c r="K269" s="60"/>
    </row>
    <row r="270" spans="1:11" s="52" customFormat="1" ht="12" x14ac:dyDescent="0.2">
      <c r="A270" s="57"/>
      <c r="B270" s="58"/>
      <c r="C270" s="58"/>
      <c r="D270" s="58"/>
      <c r="E270" s="59"/>
      <c r="F270" s="58"/>
      <c r="G270" s="58"/>
      <c r="H270" s="58"/>
      <c r="I270" s="58"/>
      <c r="J270" s="58"/>
      <c r="K270" s="60"/>
    </row>
    <row r="271" spans="1:11" s="52" customFormat="1" ht="12" x14ac:dyDescent="0.2">
      <c r="A271" s="57"/>
      <c r="B271" s="58"/>
      <c r="C271" s="58"/>
      <c r="D271" s="58"/>
      <c r="E271" s="59"/>
      <c r="F271" s="58"/>
      <c r="G271" s="58"/>
      <c r="H271" s="58"/>
      <c r="I271" s="58"/>
      <c r="J271" s="58"/>
      <c r="K271" s="60"/>
    </row>
    <row r="272" spans="1:11" s="52" customFormat="1" ht="12" x14ac:dyDescent="0.2">
      <c r="A272" s="57"/>
      <c r="B272" s="58"/>
      <c r="C272" s="58"/>
      <c r="D272" s="58"/>
      <c r="E272" s="59"/>
      <c r="F272" s="58"/>
      <c r="G272" s="58"/>
      <c r="H272" s="58"/>
      <c r="I272" s="58"/>
      <c r="J272" s="58"/>
      <c r="K272" s="60"/>
    </row>
    <row r="273" spans="1:11" s="52" customFormat="1" ht="12" x14ac:dyDescent="0.2">
      <c r="A273" s="57"/>
      <c r="B273" s="58"/>
      <c r="C273" s="58"/>
      <c r="D273" s="58"/>
      <c r="E273" s="59"/>
      <c r="F273" s="58"/>
      <c r="G273" s="58"/>
      <c r="H273" s="58"/>
      <c r="I273" s="58"/>
      <c r="J273" s="58"/>
      <c r="K273" s="60"/>
    </row>
    <row r="274" spans="1:11" s="52" customFormat="1" ht="12" x14ac:dyDescent="0.2">
      <c r="A274" s="57"/>
      <c r="B274" s="58"/>
      <c r="C274" s="58"/>
      <c r="D274" s="58"/>
      <c r="E274" s="59"/>
      <c r="F274" s="58"/>
      <c r="G274" s="58"/>
      <c r="H274" s="58"/>
      <c r="I274" s="58"/>
      <c r="J274" s="58"/>
      <c r="K274" s="60"/>
    </row>
    <row r="275" spans="1:11" s="52" customFormat="1" ht="12" x14ac:dyDescent="0.2">
      <c r="A275" s="57"/>
      <c r="B275" s="58"/>
      <c r="C275" s="58"/>
      <c r="D275" s="58"/>
      <c r="E275" s="59"/>
      <c r="F275" s="58"/>
      <c r="G275" s="58"/>
      <c r="H275" s="58"/>
      <c r="I275" s="58"/>
      <c r="J275" s="58"/>
      <c r="K275" s="60"/>
    </row>
    <row r="276" spans="1:11" s="52" customFormat="1" ht="12" x14ac:dyDescent="0.2">
      <c r="A276" s="57"/>
      <c r="B276" s="58"/>
      <c r="C276" s="58"/>
      <c r="D276" s="58"/>
      <c r="E276" s="59"/>
      <c r="F276" s="58"/>
      <c r="G276" s="58"/>
      <c r="H276" s="58"/>
      <c r="I276" s="58"/>
      <c r="J276" s="58"/>
      <c r="K276" s="60"/>
    </row>
    <row r="277" spans="1:11" s="52" customFormat="1" ht="12" x14ac:dyDescent="0.2">
      <c r="A277" s="57"/>
      <c r="B277" s="58"/>
      <c r="C277" s="58"/>
      <c r="D277" s="58"/>
      <c r="E277" s="59"/>
      <c r="F277" s="58"/>
      <c r="G277" s="58"/>
      <c r="H277" s="58"/>
      <c r="I277" s="58"/>
      <c r="J277" s="58"/>
      <c r="K277" s="60"/>
    </row>
    <row r="278" spans="1:11" s="52" customFormat="1" ht="12" x14ac:dyDescent="0.2">
      <c r="A278" s="57"/>
      <c r="B278" s="58"/>
      <c r="C278" s="58"/>
      <c r="D278" s="58"/>
      <c r="E278" s="59"/>
      <c r="F278" s="58"/>
      <c r="G278" s="58"/>
      <c r="H278" s="58"/>
      <c r="I278" s="58"/>
      <c r="J278" s="58"/>
      <c r="K278" s="60"/>
    </row>
    <row r="279" spans="1:11" s="52" customFormat="1" ht="12" x14ac:dyDescent="0.2">
      <c r="A279" s="57"/>
      <c r="B279" s="58"/>
      <c r="C279" s="58"/>
      <c r="D279" s="58"/>
      <c r="E279" s="59"/>
      <c r="F279" s="58"/>
      <c r="G279" s="58"/>
      <c r="H279" s="58"/>
      <c r="I279" s="58"/>
      <c r="J279" s="58"/>
      <c r="K279" s="60"/>
    </row>
    <row r="280" spans="1:11" s="52" customFormat="1" ht="12" x14ac:dyDescent="0.2">
      <c r="A280" s="57"/>
      <c r="B280" s="58"/>
      <c r="C280" s="58"/>
      <c r="D280" s="58"/>
      <c r="E280" s="59"/>
      <c r="F280" s="58"/>
      <c r="G280" s="58"/>
      <c r="H280" s="58"/>
      <c r="I280" s="58"/>
      <c r="J280" s="58"/>
      <c r="K280" s="60"/>
    </row>
    <row r="281" spans="1:11" s="52" customFormat="1" ht="12" x14ac:dyDescent="0.2">
      <c r="A281" s="57"/>
      <c r="B281" s="58"/>
      <c r="C281" s="58"/>
      <c r="D281" s="58"/>
      <c r="E281" s="59"/>
      <c r="F281" s="58"/>
      <c r="G281" s="58"/>
      <c r="H281" s="58"/>
      <c r="I281" s="58"/>
      <c r="J281" s="58"/>
      <c r="K281" s="60"/>
    </row>
    <row r="282" spans="1:11" s="52" customFormat="1" ht="12" x14ac:dyDescent="0.2">
      <c r="A282" s="57"/>
      <c r="B282" s="58"/>
      <c r="C282" s="58"/>
      <c r="D282" s="58"/>
      <c r="E282" s="59"/>
      <c r="F282" s="58"/>
      <c r="G282" s="58"/>
      <c r="H282" s="58"/>
      <c r="I282" s="58"/>
      <c r="J282" s="58"/>
      <c r="K282" s="60"/>
    </row>
    <row r="283" spans="1:11" s="52" customFormat="1" ht="12" x14ac:dyDescent="0.2">
      <c r="A283" s="57"/>
      <c r="B283" s="58"/>
      <c r="C283" s="58"/>
      <c r="D283" s="58"/>
      <c r="E283" s="59"/>
      <c r="F283" s="58"/>
      <c r="G283" s="58"/>
      <c r="H283" s="58"/>
      <c r="I283" s="58"/>
      <c r="J283" s="58"/>
      <c r="K283" s="60"/>
    </row>
    <row r="284" spans="1:11" s="52" customFormat="1" ht="12" x14ac:dyDescent="0.2">
      <c r="A284" s="57"/>
      <c r="B284" s="58"/>
      <c r="C284" s="58"/>
      <c r="D284" s="58"/>
      <c r="E284" s="59"/>
      <c r="F284" s="58"/>
      <c r="G284" s="58"/>
      <c r="H284" s="58"/>
      <c r="I284" s="58"/>
      <c r="J284" s="58"/>
      <c r="K284" s="60"/>
    </row>
    <row r="285" spans="1:11" s="52" customFormat="1" ht="12" x14ac:dyDescent="0.2">
      <c r="A285" s="57"/>
      <c r="B285" s="58"/>
      <c r="C285" s="58"/>
      <c r="D285" s="58"/>
      <c r="E285" s="59"/>
      <c r="F285" s="58"/>
      <c r="G285" s="58"/>
      <c r="H285" s="58"/>
      <c r="I285" s="58"/>
      <c r="J285" s="58"/>
      <c r="K285" s="60"/>
    </row>
    <row r="286" spans="1:11" s="52" customFormat="1" ht="12" x14ac:dyDescent="0.2">
      <c r="A286" s="57"/>
      <c r="B286" s="58"/>
      <c r="C286" s="58"/>
      <c r="D286" s="58"/>
      <c r="E286" s="59"/>
      <c r="F286" s="58"/>
      <c r="G286" s="58"/>
      <c r="H286" s="58"/>
      <c r="I286" s="58"/>
      <c r="J286" s="58"/>
      <c r="K286" s="60"/>
    </row>
    <row r="287" spans="1:11" s="52" customFormat="1" ht="12" x14ac:dyDescent="0.2">
      <c r="A287" s="57"/>
      <c r="B287" s="58"/>
      <c r="C287" s="58"/>
      <c r="D287" s="58"/>
      <c r="E287" s="59"/>
      <c r="F287" s="58"/>
      <c r="G287" s="58"/>
      <c r="H287" s="58"/>
      <c r="I287" s="58"/>
      <c r="J287" s="58"/>
      <c r="K287" s="60"/>
    </row>
    <row r="288" spans="1:11" s="52" customFormat="1" ht="12" x14ac:dyDescent="0.2">
      <c r="A288" s="57"/>
      <c r="B288" s="58"/>
      <c r="C288" s="58"/>
      <c r="D288" s="58"/>
      <c r="E288" s="59"/>
      <c r="F288" s="58"/>
      <c r="G288" s="58"/>
      <c r="H288" s="58"/>
      <c r="I288" s="58"/>
      <c r="J288" s="58"/>
      <c r="K288" s="60"/>
    </row>
    <row r="289" spans="1:11" s="52" customFormat="1" ht="12" x14ac:dyDescent="0.2">
      <c r="A289" s="57"/>
      <c r="B289" s="58"/>
      <c r="C289" s="58"/>
      <c r="D289" s="58"/>
      <c r="E289" s="59"/>
      <c r="F289" s="58"/>
      <c r="G289" s="58"/>
      <c r="H289" s="58"/>
      <c r="I289" s="58"/>
      <c r="J289" s="58"/>
      <c r="K289" s="60"/>
    </row>
    <row r="290" spans="1:11" s="52" customFormat="1" ht="12" x14ac:dyDescent="0.2">
      <c r="A290" s="57"/>
      <c r="B290" s="58"/>
      <c r="C290" s="58"/>
      <c r="D290" s="58"/>
      <c r="E290" s="59"/>
      <c r="F290" s="58"/>
      <c r="G290" s="58"/>
      <c r="H290" s="58"/>
      <c r="I290" s="58"/>
      <c r="J290" s="58"/>
      <c r="K290" s="60"/>
    </row>
    <row r="291" spans="1:11" s="52" customFormat="1" ht="12" x14ac:dyDescent="0.2">
      <c r="A291" s="57"/>
      <c r="B291" s="58"/>
      <c r="C291" s="58"/>
      <c r="D291" s="58"/>
      <c r="E291" s="59"/>
      <c r="F291" s="58"/>
      <c r="G291" s="58"/>
      <c r="H291" s="58"/>
      <c r="I291" s="58"/>
      <c r="J291" s="58"/>
      <c r="K291" s="60"/>
    </row>
    <row r="292" spans="1:11" s="52" customFormat="1" ht="12" x14ac:dyDescent="0.2">
      <c r="A292" s="57"/>
      <c r="B292" s="58"/>
      <c r="C292" s="58"/>
      <c r="D292" s="58"/>
      <c r="E292" s="59"/>
      <c r="F292" s="58"/>
      <c r="G292" s="58"/>
      <c r="H292" s="58"/>
      <c r="I292" s="58"/>
      <c r="J292" s="58"/>
      <c r="K292" s="60"/>
    </row>
    <row r="293" spans="1:11" s="52" customFormat="1" ht="12" x14ac:dyDescent="0.2">
      <c r="A293" s="57"/>
      <c r="B293" s="58"/>
      <c r="C293" s="58"/>
      <c r="D293" s="58"/>
      <c r="E293" s="59"/>
      <c r="F293" s="58"/>
      <c r="G293" s="58"/>
      <c r="H293" s="58"/>
      <c r="I293" s="58"/>
      <c r="J293" s="58"/>
      <c r="K293" s="60"/>
    </row>
    <row r="294" spans="1:11" s="52" customFormat="1" ht="12" x14ac:dyDescent="0.2">
      <c r="A294" s="57"/>
      <c r="B294" s="58"/>
      <c r="C294" s="58"/>
      <c r="D294" s="58"/>
      <c r="E294" s="59"/>
      <c r="F294" s="58"/>
      <c r="G294" s="58"/>
      <c r="H294" s="58"/>
      <c r="I294" s="58"/>
      <c r="J294" s="58"/>
      <c r="K294" s="60"/>
    </row>
    <row r="295" spans="1:11" s="52" customFormat="1" ht="12" x14ac:dyDescent="0.2">
      <c r="A295" s="57"/>
      <c r="B295" s="58"/>
      <c r="C295" s="58"/>
      <c r="D295" s="58"/>
      <c r="E295" s="59"/>
      <c r="F295" s="58"/>
      <c r="G295" s="58"/>
      <c r="H295" s="58"/>
      <c r="I295" s="58"/>
      <c r="J295" s="58"/>
      <c r="K295" s="60"/>
    </row>
    <row r="296" spans="1:11" s="52" customFormat="1" ht="12" x14ac:dyDescent="0.2">
      <c r="A296" s="57"/>
      <c r="B296" s="58"/>
      <c r="C296" s="58"/>
      <c r="D296" s="58"/>
      <c r="E296" s="59"/>
      <c r="F296" s="58"/>
      <c r="G296" s="58"/>
      <c r="H296" s="58"/>
      <c r="I296" s="58"/>
      <c r="J296" s="58"/>
      <c r="K296" s="60"/>
    </row>
    <row r="297" spans="1:11" s="52" customFormat="1" ht="12" x14ac:dyDescent="0.2">
      <c r="A297" s="57"/>
      <c r="B297" s="58"/>
      <c r="C297" s="58"/>
      <c r="D297" s="58"/>
      <c r="E297" s="59"/>
      <c r="F297" s="58"/>
      <c r="G297" s="58"/>
      <c r="H297" s="58"/>
      <c r="I297" s="58"/>
      <c r="J297" s="58"/>
      <c r="K297" s="60"/>
    </row>
    <row r="298" spans="1:11" s="52" customFormat="1" ht="12" x14ac:dyDescent="0.2">
      <c r="A298" s="57"/>
      <c r="B298" s="58"/>
      <c r="C298" s="58"/>
      <c r="D298" s="58"/>
      <c r="E298" s="59"/>
      <c r="F298" s="58"/>
      <c r="G298" s="58"/>
      <c r="H298" s="58"/>
      <c r="I298" s="58"/>
      <c r="J298" s="58"/>
      <c r="K298" s="60"/>
    </row>
    <row r="299" spans="1:11" s="52" customFormat="1" ht="12" x14ac:dyDescent="0.2">
      <c r="A299" s="57"/>
      <c r="B299" s="58"/>
      <c r="C299" s="58"/>
      <c r="D299" s="58"/>
      <c r="E299" s="59"/>
      <c r="F299" s="58"/>
      <c r="G299" s="58"/>
      <c r="H299" s="58"/>
      <c r="I299" s="58"/>
      <c r="J299" s="58"/>
      <c r="K299" s="60"/>
    </row>
    <row r="300" spans="1:11" s="52" customFormat="1" ht="12" x14ac:dyDescent="0.2">
      <c r="A300" s="57"/>
      <c r="B300" s="58"/>
      <c r="C300" s="58"/>
      <c r="D300" s="58"/>
      <c r="E300" s="59"/>
      <c r="F300" s="58"/>
      <c r="G300" s="58"/>
      <c r="H300" s="58"/>
      <c r="I300" s="58"/>
      <c r="J300" s="58"/>
      <c r="K300" s="60"/>
    </row>
    <row r="301" spans="1:11" s="52" customFormat="1" ht="12" x14ac:dyDescent="0.2">
      <c r="A301" s="57"/>
      <c r="B301" s="58"/>
      <c r="C301" s="58"/>
      <c r="D301" s="58"/>
      <c r="E301" s="59"/>
      <c r="F301" s="58"/>
      <c r="G301" s="58"/>
      <c r="H301" s="58"/>
      <c r="I301" s="58"/>
      <c r="J301" s="58"/>
      <c r="K301" s="60"/>
    </row>
    <row r="302" spans="1:11" s="52" customFormat="1" ht="12" x14ac:dyDescent="0.2">
      <c r="A302" s="57"/>
      <c r="B302" s="58"/>
      <c r="C302" s="58"/>
      <c r="D302" s="58"/>
      <c r="E302" s="59"/>
      <c r="F302" s="58"/>
      <c r="G302" s="58"/>
      <c r="H302" s="58"/>
      <c r="I302" s="58"/>
      <c r="J302" s="58"/>
      <c r="K302" s="60"/>
    </row>
    <row r="303" spans="1:11" s="52" customFormat="1" ht="12" x14ac:dyDescent="0.2">
      <c r="A303" s="57"/>
      <c r="B303" s="58"/>
      <c r="C303" s="58"/>
      <c r="D303" s="58"/>
      <c r="E303" s="59"/>
      <c r="F303" s="58"/>
      <c r="G303" s="58"/>
      <c r="H303" s="58"/>
      <c r="I303" s="58"/>
      <c r="J303" s="58"/>
      <c r="K303" s="60"/>
    </row>
    <row r="304" spans="1:11" s="52" customFormat="1" ht="12" x14ac:dyDescent="0.2">
      <c r="A304" s="57"/>
      <c r="B304" s="58"/>
      <c r="C304" s="58"/>
      <c r="D304" s="58"/>
      <c r="E304" s="59"/>
      <c r="F304" s="58"/>
      <c r="G304" s="58"/>
      <c r="H304" s="58"/>
      <c r="I304" s="58"/>
      <c r="J304" s="58"/>
      <c r="K304" s="60"/>
    </row>
    <row r="305" spans="1:11" s="52" customFormat="1" ht="12" x14ac:dyDescent="0.2">
      <c r="A305" s="57"/>
      <c r="B305" s="58"/>
      <c r="C305" s="58"/>
      <c r="D305" s="58"/>
      <c r="E305" s="59"/>
      <c r="F305" s="58"/>
      <c r="G305" s="58"/>
      <c r="H305" s="58"/>
      <c r="I305" s="58"/>
      <c r="J305" s="58"/>
      <c r="K305" s="60"/>
    </row>
    <row r="306" spans="1:11" s="52" customFormat="1" ht="12" x14ac:dyDescent="0.2">
      <c r="A306" s="57"/>
      <c r="B306" s="58"/>
      <c r="C306" s="58"/>
      <c r="D306" s="58"/>
      <c r="E306" s="59"/>
      <c r="F306" s="58"/>
      <c r="G306" s="58"/>
      <c r="H306" s="58"/>
      <c r="I306" s="58"/>
      <c r="J306" s="58"/>
      <c r="K306" s="60"/>
    </row>
    <row r="307" spans="1:11" s="52" customFormat="1" ht="12" x14ac:dyDescent="0.2">
      <c r="A307" s="57"/>
      <c r="B307" s="58"/>
      <c r="C307" s="58"/>
      <c r="D307" s="58"/>
      <c r="E307" s="59"/>
      <c r="F307" s="58"/>
      <c r="G307" s="58"/>
      <c r="H307" s="58"/>
      <c r="I307" s="58"/>
      <c r="J307" s="58"/>
      <c r="K307" s="60"/>
    </row>
    <row r="308" spans="1:11" s="52" customFormat="1" ht="12" x14ac:dyDescent="0.2">
      <c r="A308" s="57"/>
      <c r="B308" s="58"/>
      <c r="C308" s="58"/>
      <c r="D308" s="58"/>
      <c r="E308" s="59"/>
      <c r="F308" s="58"/>
      <c r="G308" s="58"/>
      <c r="H308" s="58"/>
      <c r="I308" s="58"/>
      <c r="J308" s="58"/>
      <c r="K308" s="60"/>
    </row>
    <row r="309" spans="1:11" s="52" customFormat="1" ht="12" x14ac:dyDescent="0.2">
      <c r="A309" s="57"/>
      <c r="B309" s="58"/>
      <c r="C309" s="58"/>
      <c r="D309" s="58"/>
      <c r="E309" s="59"/>
      <c r="F309" s="58"/>
      <c r="G309" s="58"/>
      <c r="H309" s="58"/>
      <c r="I309" s="58"/>
      <c r="J309" s="58"/>
      <c r="K309" s="60"/>
    </row>
    <row r="310" spans="1:11" s="52" customFormat="1" ht="12" x14ac:dyDescent="0.2">
      <c r="A310" s="57"/>
      <c r="B310" s="58"/>
      <c r="C310" s="58"/>
      <c r="D310" s="58"/>
      <c r="E310" s="59"/>
      <c r="F310" s="58"/>
      <c r="G310" s="58"/>
      <c r="H310" s="58"/>
      <c r="I310" s="58"/>
      <c r="J310" s="58"/>
      <c r="K310" s="60"/>
    </row>
    <row r="311" spans="1:11" s="52" customFormat="1" ht="12" x14ac:dyDescent="0.2">
      <c r="A311" s="57"/>
      <c r="B311" s="58"/>
      <c r="C311" s="58"/>
      <c r="D311" s="58"/>
      <c r="E311" s="59"/>
      <c r="F311" s="58"/>
      <c r="G311" s="58"/>
      <c r="H311" s="58"/>
      <c r="I311" s="58"/>
      <c r="J311" s="58"/>
      <c r="K311" s="60"/>
    </row>
    <row r="312" spans="1:11" s="52" customFormat="1" ht="12" x14ac:dyDescent="0.2">
      <c r="A312" s="57"/>
      <c r="B312" s="58"/>
      <c r="C312" s="58"/>
      <c r="D312" s="58"/>
      <c r="E312" s="59"/>
      <c r="F312" s="58"/>
      <c r="G312" s="58"/>
      <c r="H312" s="58"/>
      <c r="I312" s="58"/>
      <c r="J312" s="58"/>
      <c r="K312" s="60"/>
    </row>
    <row r="313" spans="1:11" s="52" customFormat="1" ht="12" x14ac:dyDescent="0.2">
      <c r="A313" s="57"/>
      <c r="B313" s="58"/>
      <c r="C313" s="58"/>
      <c r="D313" s="58"/>
      <c r="E313" s="59"/>
      <c r="F313" s="58"/>
      <c r="G313" s="58"/>
      <c r="H313" s="58"/>
      <c r="I313" s="58"/>
      <c r="J313" s="58"/>
      <c r="K313" s="60"/>
    </row>
    <row r="314" spans="1:11" s="52" customFormat="1" ht="12" x14ac:dyDescent="0.2">
      <c r="A314" s="57"/>
      <c r="B314" s="58"/>
      <c r="C314" s="58"/>
      <c r="D314" s="58"/>
      <c r="E314" s="59"/>
      <c r="F314" s="58"/>
      <c r="G314" s="58"/>
      <c r="H314" s="58"/>
      <c r="I314" s="58"/>
      <c r="J314" s="58"/>
      <c r="K314" s="60"/>
    </row>
    <row r="315" spans="1:11" s="52" customFormat="1" ht="12" x14ac:dyDescent="0.2">
      <c r="A315" s="57"/>
      <c r="B315" s="58"/>
      <c r="C315" s="58"/>
      <c r="D315" s="58"/>
      <c r="E315" s="59"/>
      <c r="F315" s="58"/>
      <c r="G315" s="58"/>
      <c r="H315" s="58"/>
      <c r="I315" s="58"/>
      <c r="J315" s="58"/>
      <c r="K315" s="60"/>
    </row>
    <row r="316" spans="1:11" s="52" customFormat="1" ht="12" x14ac:dyDescent="0.2">
      <c r="A316" s="57"/>
      <c r="B316" s="58"/>
      <c r="C316" s="58"/>
      <c r="D316" s="58"/>
      <c r="E316" s="59"/>
      <c r="F316" s="58"/>
      <c r="G316" s="58"/>
      <c r="H316" s="58"/>
      <c r="I316" s="58"/>
      <c r="J316" s="58"/>
      <c r="K316" s="60"/>
    </row>
    <row r="317" spans="1:11" s="52" customFormat="1" ht="12" x14ac:dyDescent="0.2">
      <c r="A317" s="57"/>
      <c r="B317" s="58"/>
      <c r="C317" s="58"/>
      <c r="D317" s="58"/>
      <c r="E317" s="59"/>
      <c r="F317" s="58"/>
      <c r="G317" s="58"/>
      <c r="H317" s="58"/>
      <c r="I317" s="58"/>
      <c r="J317" s="58"/>
      <c r="K317" s="60"/>
    </row>
    <row r="318" spans="1:11" s="52" customFormat="1" ht="12" x14ac:dyDescent="0.2">
      <c r="A318" s="57"/>
      <c r="B318" s="58"/>
      <c r="C318" s="58"/>
      <c r="D318" s="58"/>
      <c r="E318" s="59"/>
      <c r="F318" s="58"/>
      <c r="G318" s="58"/>
      <c r="H318" s="58"/>
      <c r="I318" s="58"/>
      <c r="J318" s="58"/>
      <c r="K318" s="60"/>
    </row>
    <row r="319" spans="1:11" s="52" customFormat="1" ht="12" x14ac:dyDescent="0.2">
      <c r="A319" s="57"/>
      <c r="B319" s="58"/>
      <c r="C319" s="58"/>
      <c r="D319" s="58"/>
      <c r="E319" s="59"/>
      <c r="F319" s="58"/>
      <c r="G319" s="58"/>
      <c r="H319" s="58"/>
      <c r="I319" s="58"/>
      <c r="J319" s="58"/>
      <c r="K319" s="60"/>
    </row>
    <row r="320" spans="1:11" s="52" customFormat="1" ht="12" x14ac:dyDescent="0.2">
      <c r="A320" s="57"/>
      <c r="B320" s="58"/>
      <c r="C320" s="58"/>
      <c r="D320" s="58"/>
      <c r="E320" s="59"/>
      <c r="F320" s="58"/>
      <c r="G320" s="58"/>
      <c r="H320" s="58"/>
      <c r="I320" s="58"/>
      <c r="J320" s="58"/>
      <c r="K320" s="60"/>
    </row>
    <row r="321" spans="1:11" s="52" customFormat="1" ht="12" x14ac:dyDescent="0.2">
      <c r="A321" s="57"/>
      <c r="B321" s="58"/>
      <c r="C321" s="58"/>
      <c r="D321" s="58"/>
      <c r="E321" s="59"/>
      <c r="F321" s="58"/>
      <c r="G321" s="58"/>
      <c r="H321" s="58"/>
      <c r="I321" s="58"/>
      <c r="J321" s="58"/>
      <c r="K321" s="60"/>
    </row>
    <row r="322" spans="1:11" s="52" customFormat="1" ht="12" x14ac:dyDescent="0.2">
      <c r="A322" s="57"/>
      <c r="B322" s="58"/>
      <c r="C322" s="58"/>
      <c r="D322" s="58"/>
      <c r="E322" s="59"/>
      <c r="F322" s="58"/>
      <c r="G322" s="58"/>
      <c r="H322" s="58"/>
      <c r="I322" s="58"/>
      <c r="J322" s="58"/>
      <c r="K322" s="60"/>
    </row>
    <row r="323" spans="1:11" s="52" customFormat="1" ht="12" x14ac:dyDescent="0.2">
      <c r="A323" s="57"/>
      <c r="B323" s="58"/>
      <c r="C323" s="58"/>
      <c r="D323" s="58"/>
      <c r="E323" s="59"/>
      <c r="F323" s="58"/>
      <c r="G323" s="58"/>
      <c r="H323" s="58"/>
      <c r="I323" s="58"/>
      <c r="J323" s="58"/>
      <c r="K323" s="60"/>
    </row>
    <row r="324" spans="1:11" s="52" customFormat="1" ht="12" x14ac:dyDescent="0.2">
      <c r="A324" s="57"/>
      <c r="B324" s="58"/>
      <c r="C324" s="58"/>
      <c r="D324" s="58"/>
      <c r="E324" s="59"/>
      <c r="F324" s="58"/>
      <c r="G324" s="58"/>
      <c r="H324" s="58"/>
      <c r="I324" s="58"/>
      <c r="J324" s="58"/>
      <c r="K324" s="60"/>
    </row>
    <row r="325" spans="1:11" s="52" customFormat="1" ht="12" x14ac:dyDescent="0.2">
      <c r="A325" s="57"/>
      <c r="B325" s="58"/>
      <c r="C325" s="58"/>
      <c r="D325" s="58"/>
      <c r="E325" s="59"/>
      <c r="F325" s="58"/>
      <c r="G325" s="58"/>
      <c r="H325" s="58"/>
      <c r="I325" s="58"/>
      <c r="J325" s="58"/>
      <c r="K325" s="60"/>
    </row>
    <row r="326" spans="1:11" s="52" customFormat="1" ht="12" x14ac:dyDescent="0.2">
      <c r="A326" s="57"/>
      <c r="B326" s="58"/>
      <c r="C326" s="58"/>
      <c r="D326" s="58"/>
      <c r="E326" s="59"/>
      <c r="F326" s="58"/>
      <c r="G326" s="58"/>
      <c r="H326" s="58"/>
      <c r="I326" s="58"/>
      <c r="J326" s="58"/>
      <c r="K326" s="60"/>
    </row>
    <row r="327" spans="1:11" s="52" customFormat="1" ht="12" x14ac:dyDescent="0.2">
      <c r="A327" s="57"/>
      <c r="B327" s="58"/>
      <c r="C327" s="58"/>
      <c r="D327" s="58"/>
      <c r="E327" s="59"/>
      <c r="F327" s="58"/>
      <c r="G327" s="58"/>
      <c r="H327" s="58"/>
      <c r="I327" s="58"/>
      <c r="J327" s="58"/>
      <c r="K327" s="60"/>
    </row>
    <row r="328" spans="1:11" s="52" customFormat="1" ht="12" x14ac:dyDescent="0.2">
      <c r="A328" s="57"/>
      <c r="B328" s="58"/>
      <c r="C328" s="58"/>
      <c r="D328" s="58"/>
      <c r="E328" s="59"/>
      <c r="F328" s="58"/>
      <c r="G328" s="58"/>
      <c r="H328" s="58"/>
      <c r="I328" s="58"/>
      <c r="J328" s="58"/>
      <c r="K328" s="60"/>
    </row>
    <row r="329" spans="1:11" s="52" customFormat="1" ht="12" x14ac:dyDescent="0.2">
      <c r="A329" s="57"/>
      <c r="B329" s="58"/>
      <c r="C329" s="58"/>
      <c r="D329" s="58"/>
      <c r="E329" s="59"/>
      <c r="F329" s="58"/>
      <c r="G329" s="58"/>
      <c r="H329" s="58"/>
      <c r="I329" s="58"/>
      <c r="J329" s="58"/>
      <c r="K329" s="60"/>
    </row>
    <row r="330" spans="1:11" s="52" customFormat="1" ht="12" x14ac:dyDescent="0.2">
      <c r="A330" s="57"/>
      <c r="B330" s="58"/>
      <c r="C330" s="58"/>
      <c r="D330" s="58"/>
      <c r="E330" s="59"/>
      <c r="F330" s="58"/>
      <c r="G330" s="58"/>
      <c r="H330" s="58"/>
      <c r="I330" s="58"/>
      <c r="J330" s="58"/>
      <c r="K330" s="60"/>
    </row>
    <row r="331" spans="1:11" s="52" customFormat="1" ht="12" x14ac:dyDescent="0.2">
      <c r="A331" s="57"/>
      <c r="B331" s="58"/>
      <c r="C331" s="58"/>
      <c r="D331" s="58"/>
      <c r="E331" s="59"/>
      <c r="F331" s="58"/>
      <c r="G331" s="58"/>
      <c r="H331" s="58"/>
      <c r="I331" s="58"/>
      <c r="J331" s="58"/>
      <c r="K331" s="60"/>
    </row>
    <row r="332" spans="1:11" s="52" customFormat="1" ht="12" x14ac:dyDescent="0.2">
      <c r="A332" s="57"/>
      <c r="B332" s="58"/>
      <c r="C332" s="58"/>
      <c r="D332" s="58"/>
      <c r="E332" s="59"/>
      <c r="F332" s="58"/>
      <c r="G332" s="58"/>
      <c r="H332" s="58"/>
      <c r="I332" s="58"/>
      <c r="J332" s="58"/>
      <c r="K332" s="60"/>
    </row>
    <row r="333" spans="1:11" s="52" customFormat="1" ht="12" x14ac:dyDescent="0.2">
      <c r="A333" s="57"/>
      <c r="B333" s="58"/>
      <c r="C333" s="58"/>
      <c r="D333" s="58"/>
      <c r="E333" s="59"/>
      <c r="F333" s="58"/>
      <c r="G333" s="58"/>
      <c r="H333" s="58"/>
      <c r="I333" s="58"/>
      <c r="J333" s="58"/>
      <c r="K333" s="60"/>
    </row>
    <row r="334" spans="1:11" s="52" customFormat="1" ht="12" x14ac:dyDescent="0.2">
      <c r="A334" s="57"/>
      <c r="B334" s="58"/>
      <c r="C334" s="58"/>
      <c r="D334" s="58"/>
      <c r="E334" s="59"/>
      <c r="F334" s="58"/>
      <c r="G334" s="58"/>
      <c r="H334" s="58"/>
      <c r="I334" s="58"/>
      <c r="J334" s="58"/>
      <c r="K334" s="60"/>
    </row>
    <row r="335" spans="1:11" s="52" customFormat="1" ht="12" x14ac:dyDescent="0.2">
      <c r="A335" s="57"/>
      <c r="B335" s="58"/>
      <c r="C335" s="58"/>
      <c r="D335" s="58"/>
      <c r="E335" s="59"/>
      <c r="F335" s="58"/>
      <c r="G335" s="58"/>
      <c r="H335" s="58"/>
      <c r="I335" s="58"/>
      <c r="J335" s="58"/>
      <c r="K335" s="60"/>
    </row>
    <row r="336" spans="1:11" s="52" customFormat="1" ht="12" x14ac:dyDescent="0.2">
      <c r="A336" s="57"/>
      <c r="B336" s="58"/>
      <c r="C336" s="58"/>
      <c r="D336" s="58"/>
      <c r="E336" s="59"/>
      <c r="F336" s="58"/>
      <c r="G336" s="58"/>
      <c r="H336" s="58"/>
      <c r="I336" s="58"/>
      <c r="J336" s="58"/>
      <c r="K336" s="60"/>
    </row>
    <row r="337" spans="1:11" s="52" customFormat="1" ht="12" x14ac:dyDescent="0.2">
      <c r="A337" s="57"/>
      <c r="B337" s="58"/>
      <c r="C337" s="58"/>
      <c r="D337" s="58"/>
      <c r="E337" s="59"/>
      <c r="F337" s="58"/>
      <c r="G337" s="58"/>
      <c r="H337" s="58"/>
      <c r="I337" s="58"/>
      <c r="J337" s="58"/>
      <c r="K337" s="60"/>
    </row>
    <row r="338" spans="1:11" s="52" customFormat="1" ht="12" x14ac:dyDescent="0.2">
      <c r="A338" s="57"/>
      <c r="B338" s="58"/>
      <c r="C338" s="58"/>
      <c r="D338" s="58"/>
      <c r="E338" s="59"/>
      <c r="F338" s="58"/>
      <c r="G338" s="58"/>
      <c r="H338" s="58"/>
      <c r="I338" s="58"/>
      <c r="J338" s="58"/>
      <c r="K338" s="60"/>
    </row>
    <row r="339" spans="1:11" s="52" customFormat="1" ht="12" x14ac:dyDescent="0.2">
      <c r="A339" s="57"/>
      <c r="B339" s="58"/>
      <c r="C339" s="58"/>
      <c r="D339" s="58"/>
      <c r="E339" s="59"/>
      <c r="F339" s="58"/>
      <c r="G339" s="58"/>
      <c r="H339" s="58"/>
      <c r="I339" s="58"/>
      <c r="J339" s="58"/>
      <c r="K339" s="60"/>
    </row>
    <row r="340" spans="1:11" s="52" customFormat="1" ht="12" x14ac:dyDescent="0.2">
      <c r="A340" s="57"/>
      <c r="B340" s="58"/>
      <c r="C340" s="58"/>
      <c r="D340" s="58"/>
      <c r="E340" s="59"/>
      <c r="F340" s="58"/>
      <c r="G340" s="58"/>
      <c r="H340" s="58"/>
      <c r="I340" s="58"/>
      <c r="J340" s="58"/>
      <c r="K340" s="60"/>
    </row>
    <row r="341" spans="1:11" s="52" customFormat="1" ht="12" x14ac:dyDescent="0.2">
      <c r="A341" s="57"/>
      <c r="B341" s="58"/>
      <c r="C341" s="58"/>
      <c r="D341" s="58"/>
      <c r="E341" s="59"/>
      <c r="F341" s="58"/>
      <c r="G341" s="58"/>
      <c r="H341" s="58"/>
      <c r="I341" s="58"/>
      <c r="J341" s="58"/>
      <c r="K341" s="60"/>
    </row>
    <row r="342" spans="1:11" s="52" customFormat="1" ht="12" x14ac:dyDescent="0.2">
      <c r="A342" s="57"/>
      <c r="B342" s="58"/>
      <c r="C342" s="58"/>
      <c r="D342" s="58"/>
      <c r="E342" s="59"/>
      <c r="F342" s="58"/>
      <c r="G342" s="58"/>
      <c r="H342" s="58"/>
      <c r="I342" s="58"/>
      <c r="J342" s="58"/>
      <c r="K342" s="60"/>
    </row>
    <row r="343" spans="1:11" s="52" customFormat="1" ht="12" x14ac:dyDescent="0.2">
      <c r="A343" s="57"/>
      <c r="B343" s="58"/>
      <c r="C343" s="58"/>
      <c r="D343" s="58"/>
      <c r="E343" s="59"/>
      <c r="F343" s="58"/>
      <c r="G343" s="58"/>
      <c r="H343" s="58"/>
      <c r="I343" s="58"/>
      <c r="J343" s="58"/>
      <c r="K343" s="60"/>
    </row>
    <row r="344" spans="1:11" s="52" customFormat="1" ht="12" x14ac:dyDescent="0.2">
      <c r="A344" s="57"/>
      <c r="B344" s="58"/>
      <c r="C344" s="58"/>
      <c r="D344" s="58"/>
      <c r="E344" s="59"/>
      <c r="F344" s="58"/>
      <c r="G344" s="58"/>
      <c r="H344" s="58"/>
      <c r="I344" s="58"/>
      <c r="J344" s="58"/>
      <c r="K344" s="60"/>
    </row>
    <row r="345" spans="1:11" s="52" customFormat="1" ht="12" x14ac:dyDescent="0.2">
      <c r="A345" s="57"/>
      <c r="B345" s="58"/>
      <c r="C345" s="58"/>
      <c r="D345" s="58"/>
      <c r="E345" s="59"/>
      <c r="F345" s="58"/>
      <c r="G345" s="58"/>
      <c r="H345" s="58"/>
      <c r="I345" s="58"/>
      <c r="J345" s="58"/>
      <c r="K345" s="60"/>
    </row>
    <row r="346" spans="1:11" s="52" customFormat="1" ht="12" x14ac:dyDescent="0.2">
      <c r="A346" s="57"/>
      <c r="B346" s="58"/>
      <c r="C346" s="58"/>
      <c r="D346" s="58"/>
      <c r="E346" s="59"/>
      <c r="F346" s="58"/>
      <c r="G346" s="58"/>
      <c r="H346" s="58"/>
      <c r="I346" s="58"/>
      <c r="J346" s="58"/>
      <c r="K346" s="60"/>
    </row>
    <row r="347" spans="1:11" s="52" customFormat="1" ht="12" x14ac:dyDescent="0.2">
      <c r="A347" s="57"/>
      <c r="B347" s="58"/>
      <c r="C347" s="58"/>
      <c r="D347" s="58"/>
      <c r="E347" s="59"/>
      <c r="F347" s="58"/>
      <c r="G347" s="58"/>
      <c r="H347" s="58"/>
      <c r="I347" s="58"/>
      <c r="J347" s="58"/>
      <c r="K347" s="60"/>
    </row>
    <row r="348" spans="1:11" s="52" customFormat="1" ht="12" x14ac:dyDescent="0.2">
      <c r="A348" s="57"/>
      <c r="B348" s="58"/>
      <c r="C348" s="58"/>
      <c r="D348" s="58"/>
      <c r="E348" s="59"/>
      <c r="F348" s="58"/>
      <c r="G348" s="58"/>
      <c r="H348" s="58"/>
      <c r="I348" s="58"/>
      <c r="J348" s="58"/>
      <c r="K348" s="60"/>
    </row>
    <row r="349" spans="1:11" s="52" customFormat="1" ht="12" x14ac:dyDescent="0.2">
      <c r="A349" s="57"/>
      <c r="B349" s="58"/>
      <c r="C349" s="58"/>
      <c r="D349" s="58"/>
      <c r="E349" s="59"/>
      <c r="F349" s="58"/>
      <c r="G349" s="58"/>
      <c r="H349" s="58"/>
      <c r="I349" s="58"/>
      <c r="J349" s="58"/>
      <c r="K349" s="60"/>
    </row>
    <row r="350" spans="1:11" s="52" customFormat="1" ht="12" x14ac:dyDescent="0.2">
      <c r="A350" s="57"/>
      <c r="B350" s="58"/>
      <c r="C350" s="58"/>
      <c r="D350" s="58"/>
      <c r="E350" s="59"/>
      <c r="F350" s="58"/>
      <c r="G350" s="58"/>
      <c r="H350" s="58"/>
      <c r="I350" s="58"/>
      <c r="J350" s="58"/>
      <c r="K350" s="60"/>
    </row>
    <row r="351" spans="1:11" s="52" customFormat="1" ht="12" x14ac:dyDescent="0.2">
      <c r="A351" s="57"/>
      <c r="B351" s="58"/>
      <c r="C351" s="58"/>
      <c r="D351" s="58"/>
      <c r="E351" s="59"/>
      <c r="F351" s="58"/>
      <c r="G351" s="58"/>
      <c r="H351" s="58"/>
      <c r="I351" s="58"/>
      <c r="J351" s="58"/>
      <c r="K351" s="60"/>
    </row>
    <row r="352" spans="1:11" s="52" customFormat="1" ht="12" x14ac:dyDescent="0.2">
      <c r="A352" s="57"/>
      <c r="B352" s="58"/>
      <c r="C352" s="58"/>
      <c r="D352" s="58"/>
      <c r="E352" s="59"/>
      <c r="F352" s="58"/>
      <c r="G352" s="58"/>
      <c r="H352" s="58"/>
      <c r="I352" s="58"/>
      <c r="J352" s="58"/>
      <c r="K352" s="60"/>
    </row>
    <row r="353" spans="1:11" s="52" customFormat="1" ht="12" x14ac:dyDescent="0.2">
      <c r="A353" s="57"/>
      <c r="B353" s="58"/>
      <c r="C353" s="58"/>
      <c r="D353" s="58"/>
      <c r="E353" s="59"/>
      <c r="F353" s="58"/>
      <c r="G353" s="58"/>
      <c r="H353" s="58"/>
      <c r="I353" s="58"/>
      <c r="J353" s="58"/>
      <c r="K353" s="60"/>
    </row>
    <row r="354" spans="1:11" s="52" customFormat="1" ht="12" x14ac:dyDescent="0.2">
      <c r="A354" s="57"/>
      <c r="B354" s="58"/>
      <c r="C354" s="58"/>
      <c r="D354" s="58"/>
      <c r="E354" s="59"/>
      <c r="F354" s="58"/>
      <c r="G354" s="58"/>
      <c r="H354" s="58"/>
      <c r="I354" s="58"/>
      <c r="J354" s="58"/>
      <c r="K354" s="60"/>
    </row>
    <row r="355" spans="1:11" s="52" customFormat="1" ht="12" x14ac:dyDescent="0.2">
      <c r="A355" s="57"/>
      <c r="B355" s="58"/>
      <c r="C355" s="58"/>
      <c r="D355" s="58"/>
      <c r="E355" s="59"/>
      <c r="F355" s="58"/>
      <c r="G355" s="58"/>
      <c r="H355" s="58"/>
      <c r="I355" s="58"/>
      <c r="J355" s="58"/>
      <c r="K355" s="60"/>
    </row>
    <row r="356" spans="1:11" s="52" customFormat="1" ht="12" x14ac:dyDescent="0.2">
      <c r="A356" s="57"/>
      <c r="B356" s="58"/>
      <c r="C356" s="58"/>
      <c r="D356" s="58"/>
      <c r="E356" s="59"/>
      <c r="F356" s="58"/>
      <c r="G356" s="58"/>
      <c r="H356" s="58"/>
      <c r="I356" s="58"/>
      <c r="J356" s="58"/>
      <c r="K356" s="60"/>
    </row>
    <row r="357" spans="1:11" s="52" customFormat="1" ht="12" x14ac:dyDescent="0.2">
      <c r="A357" s="57"/>
      <c r="B357" s="58"/>
      <c r="C357" s="58"/>
      <c r="D357" s="58"/>
      <c r="E357" s="59"/>
      <c r="F357" s="58"/>
      <c r="G357" s="58"/>
      <c r="H357" s="58"/>
      <c r="I357" s="58"/>
      <c r="J357" s="58"/>
      <c r="K357" s="60"/>
    </row>
    <row r="358" spans="1:11" s="52" customFormat="1" ht="12" x14ac:dyDescent="0.2">
      <c r="A358" s="57"/>
      <c r="B358" s="58"/>
      <c r="C358" s="58"/>
      <c r="D358" s="58"/>
      <c r="E358" s="59"/>
      <c r="F358" s="58"/>
      <c r="G358" s="58"/>
      <c r="H358" s="58"/>
      <c r="I358" s="58"/>
      <c r="J358" s="58"/>
      <c r="K358" s="60"/>
    </row>
    <row r="359" spans="1:11" s="52" customFormat="1" ht="12" x14ac:dyDescent="0.2">
      <c r="A359" s="57"/>
      <c r="B359" s="58"/>
      <c r="C359" s="58"/>
      <c r="D359" s="58"/>
      <c r="E359" s="59"/>
      <c r="F359" s="58"/>
      <c r="G359" s="58"/>
      <c r="H359" s="58"/>
      <c r="I359" s="58"/>
      <c r="J359" s="58"/>
      <c r="K359" s="60"/>
    </row>
    <row r="360" spans="1:11" s="52" customFormat="1" ht="12" x14ac:dyDescent="0.2">
      <c r="A360" s="57"/>
      <c r="B360" s="58"/>
      <c r="C360" s="58"/>
      <c r="D360" s="58"/>
      <c r="E360" s="59"/>
      <c r="F360" s="58"/>
      <c r="G360" s="58"/>
      <c r="H360" s="58"/>
      <c r="I360" s="58"/>
      <c r="J360" s="58"/>
      <c r="K360" s="60"/>
    </row>
    <row r="361" spans="1:11" s="52" customFormat="1" ht="12" x14ac:dyDescent="0.2">
      <c r="A361" s="57"/>
      <c r="B361" s="58"/>
      <c r="C361" s="58"/>
      <c r="D361" s="58"/>
      <c r="E361" s="59"/>
      <c r="F361" s="58"/>
      <c r="G361" s="58"/>
      <c r="H361" s="58"/>
      <c r="I361" s="58"/>
      <c r="J361" s="58"/>
      <c r="K361" s="60"/>
    </row>
    <row r="362" spans="1:11" s="52" customFormat="1" ht="12" x14ac:dyDescent="0.2">
      <c r="A362" s="57"/>
      <c r="B362" s="58"/>
      <c r="C362" s="58"/>
      <c r="D362" s="58"/>
      <c r="E362" s="59"/>
      <c r="F362" s="58"/>
      <c r="G362" s="58"/>
      <c r="H362" s="58"/>
      <c r="I362" s="58"/>
      <c r="J362" s="58"/>
      <c r="K362" s="60"/>
    </row>
    <row r="363" spans="1:11" s="52" customFormat="1" ht="12" x14ac:dyDescent="0.2">
      <c r="A363" s="57"/>
      <c r="B363" s="58"/>
      <c r="C363" s="58"/>
      <c r="D363" s="58"/>
      <c r="E363" s="59"/>
      <c r="F363" s="58"/>
      <c r="G363" s="58"/>
      <c r="H363" s="58"/>
      <c r="I363" s="58"/>
      <c r="J363" s="58"/>
      <c r="K363" s="60"/>
    </row>
    <row r="364" spans="1:11" s="52" customFormat="1" ht="12" x14ac:dyDescent="0.2">
      <c r="A364" s="57"/>
      <c r="B364" s="58"/>
      <c r="C364" s="58"/>
      <c r="D364" s="58"/>
      <c r="E364" s="59"/>
      <c r="F364" s="58"/>
      <c r="G364" s="58"/>
      <c r="H364" s="58"/>
      <c r="I364" s="58"/>
      <c r="J364" s="58"/>
      <c r="K364" s="60"/>
    </row>
    <row r="365" spans="1:11" s="52" customFormat="1" ht="12" x14ac:dyDescent="0.2">
      <c r="A365" s="57"/>
      <c r="B365" s="58"/>
      <c r="C365" s="58"/>
      <c r="D365" s="58"/>
      <c r="E365" s="59"/>
      <c r="F365" s="58"/>
      <c r="G365" s="58"/>
      <c r="H365" s="58"/>
      <c r="I365" s="58"/>
      <c r="J365" s="58"/>
      <c r="K365" s="60"/>
    </row>
    <row r="366" spans="1:11" s="52" customFormat="1" ht="12" x14ac:dyDescent="0.2">
      <c r="A366" s="57"/>
      <c r="B366" s="58"/>
      <c r="C366" s="58"/>
      <c r="D366" s="58"/>
      <c r="E366" s="59"/>
      <c r="F366" s="58"/>
      <c r="G366" s="58"/>
      <c r="H366" s="58"/>
      <c r="I366" s="58"/>
      <c r="J366" s="58"/>
      <c r="K366" s="60"/>
    </row>
    <row r="367" spans="1:11" s="52" customFormat="1" ht="12" x14ac:dyDescent="0.2">
      <c r="A367" s="57"/>
      <c r="B367" s="58"/>
      <c r="C367" s="58"/>
      <c r="D367" s="58"/>
      <c r="E367" s="59"/>
      <c r="F367" s="58"/>
      <c r="G367" s="58"/>
      <c r="H367" s="58"/>
      <c r="I367" s="58"/>
      <c r="J367" s="58"/>
      <c r="K367" s="60"/>
    </row>
    <row r="368" spans="1:11" s="52" customFormat="1" ht="12" x14ac:dyDescent="0.2">
      <c r="A368" s="57"/>
      <c r="B368" s="58"/>
      <c r="C368" s="58"/>
      <c r="D368" s="58"/>
      <c r="E368" s="59"/>
      <c r="F368" s="58"/>
      <c r="G368" s="58"/>
      <c r="H368" s="58"/>
      <c r="I368" s="58"/>
      <c r="J368" s="58"/>
      <c r="K368" s="60"/>
    </row>
    <row r="369" spans="1:11" s="52" customFormat="1" ht="12" x14ac:dyDescent="0.2">
      <c r="A369" s="57"/>
      <c r="B369" s="58"/>
      <c r="C369" s="58"/>
      <c r="D369" s="58"/>
      <c r="E369" s="59"/>
      <c r="F369" s="58"/>
      <c r="G369" s="58"/>
      <c r="H369" s="58"/>
      <c r="I369" s="58"/>
      <c r="J369" s="58"/>
      <c r="K369" s="60"/>
    </row>
    <row r="370" spans="1:11" s="52" customFormat="1" ht="12" x14ac:dyDescent="0.2">
      <c r="A370" s="57"/>
      <c r="B370" s="58"/>
      <c r="C370" s="58"/>
      <c r="D370" s="58"/>
      <c r="E370" s="59"/>
      <c r="F370" s="58"/>
      <c r="G370" s="58"/>
      <c r="H370" s="58"/>
      <c r="I370" s="58"/>
      <c r="J370" s="58"/>
      <c r="K370" s="60"/>
    </row>
    <row r="371" spans="1:11" s="52" customFormat="1" ht="12" x14ac:dyDescent="0.2">
      <c r="A371" s="57"/>
      <c r="B371" s="58"/>
      <c r="C371" s="58"/>
      <c r="D371" s="58"/>
      <c r="E371" s="59"/>
      <c r="F371" s="58"/>
      <c r="G371" s="58"/>
      <c r="H371" s="58"/>
      <c r="I371" s="58"/>
      <c r="J371" s="58"/>
      <c r="K371" s="60"/>
    </row>
    <row r="372" spans="1:11" s="52" customFormat="1" ht="12" x14ac:dyDescent="0.2">
      <c r="A372" s="57"/>
      <c r="B372" s="58"/>
      <c r="C372" s="58"/>
      <c r="D372" s="58"/>
      <c r="E372" s="59"/>
      <c r="F372" s="58"/>
      <c r="G372" s="58"/>
      <c r="H372" s="58"/>
      <c r="I372" s="58"/>
      <c r="J372" s="58"/>
      <c r="K372" s="60"/>
    </row>
    <row r="373" spans="1:11" s="52" customFormat="1" ht="12" x14ac:dyDescent="0.2">
      <c r="A373" s="57"/>
      <c r="B373" s="58"/>
      <c r="C373" s="58"/>
      <c r="D373" s="58"/>
      <c r="E373" s="59"/>
      <c r="F373" s="58"/>
      <c r="G373" s="58"/>
      <c r="H373" s="58"/>
      <c r="I373" s="58"/>
      <c r="J373" s="58"/>
      <c r="K373" s="60"/>
    </row>
    <row r="374" spans="1:11" s="52" customFormat="1" ht="12" x14ac:dyDescent="0.2">
      <c r="A374" s="57"/>
      <c r="B374" s="58"/>
      <c r="C374" s="58"/>
      <c r="D374" s="58"/>
      <c r="E374" s="59"/>
      <c r="F374" s="58"/>
      <c r="G374" s="58"/>
      <c r="H374" s="58"/>
      <c r="I374" s="58"/>
      <c r="J374" s="58"/>
      <c r="K374" s="60"/>
    </row>
    <row r="375" spans="1:11" s="52" customFormat="1" ht="12" x14ac:dyDescent="0.2">
      <c r="A375" s="57"/>
      <c r="B375" s="58"/>
      <c r="C375" s="58"/>
      <c r="D375" s="58"/>
      <c r="E375" s="59"/>
      <c r="F375" s="58"/>
      <c r="G375" s="58"/>
      <c r="H375" s="58"/>
      <c r="I375" s="58"/>
      <c r="J375" s="58"/>
      <c r="K375" s="60"/>
    </row>
    <row r="376" spans="1:11" s="52" customFormat="1" ht="12" x14ac:dyDescent="0.2">
      <c r="A376" s="57"/>
      <c r="B376" s="58"/>
      <c r="C376" s="58"/>
      <c r="D376" s="58"/>
      <c r="E376" s="59"/>
      <c r="F376" s="58"/>
      <c r="G376" s="58"/>
      <c r="H376" s="58"/>
      <c r="I376" s="58"/>
      <c r="J376" s="58"/>
      <c r="K376" s="60"/>
    </row>
    <row r="377" spans="1:11" s="52" customFormat="1" ht="12" x14ac:dyDescent="0.2">
      <c r="A377" s="57"/>
      <c r="B377" s="58"/>
      <c r="C377" s="58"/>
      <c r="D377" s="58"/>
      <c r="E377" s="59"/>
      <c r="F377" s="58"/>
      <c r="G377" s="58"/>
      <c r="H377" s="58"/>
      <c r="I377" s="58"/>
      <c r="J377" s="58"/>
      <c r="K377" s="60"/>
    </row>
    <row r="378" spans="1:11" s="52" customFormat="1" ht="12" x14ac:dyDescent="0.2">
      <c r="A378" s="57"/>
      <c r="B378" s="58"/>
      <c r="C378" s="58"/>
      <c r="D378" s="58"/>
      <c r="E378" s="59"/>
      <c r="F378" s="58"/>
      <c r="G378" s="58"/>
      <c r="H378" s="58"/>
      <c r="I378" s="58"/>
      <c r="J378" s="58"/>
      <c r="K378" s="60"/>
    </row>
    <row r="379" spans="1:11" s="52" customFormat="1" ht="12" x14ac:dyDescent="0.2">
      <c r="A379" s="57"/>
      <c r="B379" s="58"/>
      <c r="C379" s="58"/>
      <c r="D379" s="58"/>
      <c r="E379" s="59"/>
      <c r="F379" s="58"/>
      <c r="G379" s="58"/>
      <c r="H379" s="58"/>
      <c r="I379" s="58"/>
      <c r="J379" s="58"/>
      <c r="K379" s="60"/>
    </row>
    <row r="380" spans="1:11" s="52" customFormat="1" ht="12" x14ac:dyDescent="0.2">
      <c r="A380" s="57"/>
      <c r="B380" s="58"/>
      <c r="C380" s="58"/>
      <c r="D380" s="58"/>
      <c r="E380" s="59"/>
      <c r="F380" s="58"/>
      <c r="G380" s="58"/>
      <c r="H380" s="58"/>
      <c r="I380" s="58"/>
      <c r="J380" s="58"/>
      <c r="K380" s="60"/>
    </row>
    <row r="381" spans="1:11" s="52" customFormat="1" ht="12" x14ac:dyDescent="0.2">
      <c r="A381" s="57"/>
      <c r="B381" s="58"/>
      <c r="C381" s="58"/>
      <c r="D381" s="58"/>
      <c r="E381" s="59"/>
      <c r="F381" s="58"/>
      <c r="G381" s="58"/>
      <c r="H381" s="58"/>
      <c r="I381" s="58"/>
      <c r="J381" s="58"/>
      <c r="K381" s="60"/>
    </row>
    <row r="382" spans="1:11" s="52" customFormat="1" ht="12" x14ac:dyDescent="0.2">
      <c r="A382" s="57"/>
      <c r="B382" s="58"/>
      <c r="C382" s="58"/>
      <c r="D382" s="58"/>
      <c r="E382" s="59"/>
      <c r="F382" s="58"/>
      <c r="G382" s="58"/>
      <c r="H382" s="58"/>
      <c r="I382" s="58"/>
      <c r="J382" s="58"/>
      <c r="K382" s="60"/>
    </row>
    <row r="383" spans="1:11" s="52" customFormat="1" ht="12" x14ac:dyDescent="0.2">
      <c r="A383" s="57"/>
      <c r="B383" s="58"/>
      <c r="C383" s="58"/>
      <c r="D383" s="58"/>
      <c r="E383" s="59"/>
      <c r="F383" s="58"/>
      <c r="G383" s="58"/>
      <c r="H383" s="58"/>
      <c r="I383" s="58"/>
      <c r="J383" s="58"/>
      <c r="K383" s="60"/>
    </row>
    <row r="384" spans="1:11" s="52" customFormat="1" ht="12" x14ac:dyDescent="0.2">
      <c r="A384" s="57"/>
      <c r="B384" s="58"/>
      <c r="C384" s="58"/>
      <c r="D384" s="58"/>
      <c r="E384" s="59"/>
      <c r="F384" s="58"/>
      <c r="G384" s="58"/>
      <c r="H384" s="58"/>
      <c r="I384" s="58"/>
      <c r="J384" s="58"/>
      <c r="K384" s="60"/>
    </row>
    <row r="385" spans="1:11" s="52" customFormat="1" ht="12" x14ac:dyDescent="0.2">
      <c r="A385" s="57"/>
      <c r="B385" s="58"/>
      <c r="C385" s="58"/>
      <c r="D385" s="58"/>
      <c r="E385" s="59"/>
      <c r="F385" s="58"/>
      <c r="G385" s="58"/>
      <c r="H385" s="58"/>
      <c r="I385" s="58"/>
      <c r="J385" s="58"/>
      <c r="K385" s="60"/>
    </row>
    <row r="386" spans="1:11" s="52" customFormat="1" ht="12" x14ac:dyDescent="0.2">
      <c r="A386" s="57"/>
      <c r="B386" s="58"/>
      <c r="C386" s="58"/>
      <c r="D386" s="58"/>
      <c r="E386" s="59"/>
      <c r="F386" s="58"/>
      <c r="G386" s="58"/>
      <c r="H386" s="58"/>
      <c r="I386" s="58"/>
      <c r="J386" s="58"/>
      <c r="K386" s="60"/>
    </row>
    <row r="387" spans="1:11" s="52" customFormat="1" ht="12" x14ac:dyDescent="0.2">
      <c r="A387" s="57"/>
      <c r="B387" s="58"/>
      <c r="C387" s="58"/>
      <c r="D387" s="58"/>
      <c r="E387" s="59"/>
      <c r="F387" s="58"/>
      <c r="G387" s="58"/>
      <c r="H387" s="58"/>
      <c r="I387" s="58"/>
      <c r="J387" s="58"/>
      <c r="K387" s="60"/>
    </row>
    <row r="388" spans="1:11" s="52" customFormat="1" ht="12" x14ac:dyDescent="0.2">
      <c r="A388" s="57"/>
      <c r="B388" s="58"/>
      <c r="C388" s="58"/>
      <c r="D388" s="58"/>
      <c r="E388" s="59"/>
      <c r="F388" s="58"/>
      <c r="G388" s="58"/>
      <c r="H388" s="58"/>
      <c r="I388" s="58"/>
      <c r="J388" s="58"/>
      <c r="K388" s="60"/>
    </row>
    <row r="389" spans="1:11" s="52" customFormat="1" ht="12" x14ac:dyDescent="0.2">
      <c r="A389" s="57"/>
      <c r="B389" s="58"/>
      <c r="C389" s="58"/>
      <c r="D389" s="58"/>
      <c r="E389" s="59"/>
      <c r="F389" s="58"/>
      <c r="G389" s="58"/>
      <c r="H389" s="58"/>
      <c r="I389" s="58"/>
      <c r="J389" s="58"/>
      <c r="K389" s="60"/>
    </row>
    <row r="390" spans="1:11" s="52" customFormat="1" ht="12" x14ac:dyDescent="0.2">
      <c r="A390" s="57"/>
      <c r="B390" s="58"/>
      <c r="C390" s="58"/>
      <c r="D390" s="58"/>
      <c r="E390" s="59"/>
      <c r="F390" s="58"/>
      <c r="G390" s="58"/>
      <c r="H390" s="58"/>
      <c r="I390" s="58"/>
      <c r="J390" s="58"/>
      <c r="K390" s="60"/>
    </row>
    <row r="391" spans="1:11" s="52" customFormat="1" ht="12" x14ac:dyDescent="0.2">
      <c r="A391" s="57"/>
      <c r="B391" s="58"/>
      <c r="C391" s="58"/>
      <c r="D391" s="58"/>
      <c r="E391" s="59"/>
      <c r="F391" s="58"/>
      <c r="G391" s="58"/>
      <c r="H391" s="58"/>
      <c r="I391" s="58"/>
      <c r="J391" s="58"/>
      <c r="K391" s="60"/>
    </row>
    <row r="392" spans="1:11" s="52" customFormat="1" ht="12" x14ac:dyDescent="0.2">
      <c r="A392" s="57"/>
      <c r="B392" s="58"/>
      <c r="C392" s="58"/>
      <c r="D392" s="58"/>
      <c r="E392" s="59"/>
      <c r="F392" s="58"/>
      <c r="G392" s="58"/>
      <c r="H392" s="58"/>
      <c r="I392" s="58"/>
      <c r="J392" s="58"/>
      <c r="K392" s="60"/>
    </row>
    <row r="393" spans="1:11" s="52" customFormat="1" ht="12" x14ac:dyDescent="0.2">
      <c r="A393" s="57"/>
      <c r="B393" s="58"/>
      <c r="C393" s="58"/>
      <c r="D393" s="58"/>
      <c r="E393" s="59"/>
      <c r="F393" s="58"/>
      <c r="G393" s="58"/>
      <c r="H393" s="58"/>
      <c r="I393" s="58"/>
      <c r="J393" s="58"/>
      <c r="K393" s="60"/>
    </row>
    <row r="394" spans="1:11" s="52" customFormat="1" ht="12" x14ac:dyDescent="0.2">
      <c r="A394" s="57"/>
      <c r="B394" s="58"/>
      <c r="C394" s="58"/>
      <c r="D394" s="58"/>
      <c r="E394" s="59"/>
      <c r="F394" s="58"/>
      <c r="G394" s="58"/>
      <c r="H394" s="58"/>
      <c r="I394" s="58"/>
      <c r="J394" s="58"/>
      <c r="K394" s="60"/>
    </row>
    <row r="395" spans="1:11" s="52" customFormat="1" ht="12" x14ac:dyDescent="0.2">
      <c r="A395" s="57"/>
      <c r="B395" s="58"/>
      <c r="C395" s="58"/>
      <c r="D395" s="58"/>
      <c r="E395" s="59"/>
      <c r="F395" s="58"/>
      <c r="G395" s="58"/>
      <c r="H395" s="58"/>
      <c r="I395" s="58"/>
      <c r="J395" s="58"/>
      <c r="K395" s="60"/>
    </row>
    <row r="396" spans="1:11" s="52" customFormat="1" ht="12" x14ac:dyDescent="0.2">
      <c r="A396" s="57"/>
      <c r="B396" s="58"/>
      <c r="C396" s="58"/>
      <c r="D396" s="58"/>
      <c r="E396" s="59"/>
      <c r="F396" s="58"/>
      <c r="G396" s="58"/>
      <c r="H396" s="58"/>
      <c r="I396" s="58"/>
      <c r="J396" s="58"/>
      <c r="K396" s="60"/>
    </row>
    <row r="397" spans="1:11" s="52" customFormat="1" ht="12" x14ac:dyDescent="0.2">
      <c r="A397" s="57"/>
      <c r="B397" s="58"/>
      <c r="C397" s="58"/>
      <c r="D397" s="58"/>
      <c r="E397" s="59"/>
      <c r="F397" s="58"/>
      <c r="G397" s="58"/>
      <c r="H397" s="58"/>
      <c r="I397" s="58"/>
      <c r="J397" s="58"/>
      <c r="K397" s="60"/>
    </row>
    <row r="398" spans="1:11" s="52" customFormat="1" ht="12" x14ac:dyDescent="0.2">
      <c r="A398" s="57"/>
      <c r="B398" s="58"/>
      <c r="C398" s="58"/>
      <c r="D398" s="58"/>
      <c r="E398" s="59"/>
      <c r="F398" s="58"/>
      <c r="G398" s="58"/>
      <c r="H398" s="58"/>
      <c r="I398" s="58"/>
      <c r="J398" s="58"/>
      <c r="K398" s="60"/>
    </row>
    <row r="399" spans="1:11" s="52" customFormat="1" ht="12" x14ac:dyDescent="0.2">
      <c r="A399" s="57"/>
      <c r="B399" s="58"/>
      <c r="C399" s="58"/>
      <c r="D399" s="58"/>
      <c r="E399" s="59"/>
      <c r="F399" s="58"/>
      <c r="G399" s="58"/>
      <c r="H399" s="58"/>
      <c r="I399" s="58"/>
      <c r="J399" s="58"/>
      <c r="K399" s="60"/>
    </row>
    <row r="400" spans="1:11" s="52" customFormat="1" ht="12" x14ac:dyDescent="0.2">
      <c r="A400" s="57"/>
      <c r="B400" s="58"/>
      <c r="C400" s="58"/>
      <c r="D400" s="58"/>
      <c r="E400" s="59"/>
      <c r="F400" s="58"/>
      <c r="G400" s="58"/>
      <c r="H400" s="58"/>
      <c r="I400" s="58"/>
      <c r="J400" s="58"/>
      <c r="K400" s="60"/>
    </row>
    <row r="401" spans="1:11" s="52" customFormat="1" ht="12" x14ac:dyDescent="0.2">
      <c r="A401" s="57"/>
      <c r="B401" s="58"/>
      <c r="C401" s="58"/>
      <c r="D401" s="58"/>
      <c r="E401" s="59"/>
      <c r="F401" s="58"/>
      <c r="G401" s="58"/>
      <c r="H401" s="58"/>
      <c r="I401" s="58"/>
      <c r="J401" s="58"/>
      <c r="K401" s="60"/>
    </row>
    <row r="402" spans="1:11" s="52" customFormat="1" ht="12" x14ac:dyDescent="0.2">
      <c r="A402" s="57"/>
      <c r="B402" s="58"/>
      <c r="C402" s="58"/>
      <c r="D402" s="58"/>
      <c r="E402" s="59"/>
      <c r="F402" s="58"/>
      <c r="G402" s="58"/>
      <c r="H402" s="58"/>
      <c r="I402" s="58"/>
      <c r="J402" s="58"/>
      <c r="K402" s="60"/>
    </row>
    <row r="403" spans="1:11" s="52" customFormat="1" ht="12" x14ac:dyDescent="0.2">
      <c r="A403" s="57"/>
      <c r="B403" s="58"/>
      <c r="C403" s="58"/>
      <c r="D403" s="58"/>
      <c r="E403" s="59"/>
      <c r="F403" s="58"/>
      <c r="G403" s="58"/>
      <c r="H403" s="58"/>
      <c r="I403" s="58"/>
      <c r="J403" s="58"/>
      <c r="K403" s="60"/>
    </row>
    <row r="404" spans="1:11" s="52" customFormat="1" ht="12" x14ac:dyDescent="0.2">
      <c r="A404" s="57"/>
      <c r="B404" s="58"/>
      <c r="C404" s="58"/>
      <c r="D404" s="58"/>
      <c r="E404" s="59"/>
      <c r="F404" s="58"/>
      <c r="G404" s="58"/>
      <c r="H404" s="58"/>
      <c r="I404" s="58"/>
      <c r="J404" s="58"/>
      <c r="K404" s="60"/>
    </row>
    <row r="405" spans="1:11" s="52" customFormat="1" ht="12" x14ac:dyDescent="0.2">
      <c r="A405" s="57"/>
      <c r="B405" s="58"/>
      <c r="C405" s="58"/>
      <c r="D405" s="58"/>
      <c r="E405" s="59"/>
      <c r="F405" s="58"/>
      <c r="G405" s="58"/>
      <c r="H405" s="58"/>
      <c r="I405" s="58"/>
      <c r="J405" s="58"/>
      <c r="K405" s="60"/>
    </row>
    <row r="406" spans="1:11" s="52" customFormat="1" ht="12" x14ac:dyDescent="0.2">
      <c r="A406" s="57"/>
      <c r="B406" s="58"/>
      <c r="C406" s="58"/>
      <c r="D406" s="58"/>
      <c r="E406" s="59"/>
      <c r="F406" s="58"/>
      <c r="G406" s="58"/>
      <c r="H406" s="58"/>
      <c r="I406" s="58"/>
      <c r="J406" s="58"/>
      <c r="K406" s="60"/>
    </row>
    <row r="407" spans="1:11" s="52" customFormat="1" ht="12" x14ac:dyDescent="0.2">
      <c r="A407" s="57"/>
      <c r="B407" s="58"/>
      <c r="C407" s="58"/>
      <c r="D407" s="58"/>
      <c r="E407" s="59"/>
      <c r="F407" s="58"/>
      <c r="G407" s="58"/>
      <c r="H407" s="58"/>
      <c r="I407" s="58"/>
      <c r="J407" s="58"/>
      <c r="K407" s="60"/>
    </row>
    <row r="408" spans="1:11" s="52" customFormat="1" ht="12" x14ac:dyDescent="0.2">
      <c r="A408" s="57"/>
      <c r="B408" s="58"/>
      <c r="C408" s="58"/>
      <c r="D408" s="58"/>
      <c r="E408" s="59"/>
      <c r="F408" s="58"/>
      <c r="G408" s="58"/>
      <c r="H408" s="58"/>
      <c r="I408" s="58"/>
      <c r="J408" s="58"/>
      <c r="K408" s="60"/>
    </row>
    <row r="409" spans="1:11" s="52" customFormat="1" ht="12" x14ac:dyDescent="0.2">
      <c r="A409" s="57"/>
      <c r="B409" s="58"/>
      <c r="C409" s="58"/>
      <c r="D409" s="58"/>
      <c r="E409" s="59"/>
      <c r="F409" s="58"/>
      <c r="G409" s="58"/>
      <c r="H409" s="58"/>
      <c r="I409" s="58"/>
      <c r="J409" s="58"/>
      <c r="K409" s="60"/>
    </row>
    <row r="410" spans="1:11" s="52" customFormat="1" ht="12" x14ac:dyDescent="0.2">
      <c r="A410" s="57"/>
      <c r="B410" s="58"/>
      <c r="C410" s="58"/>
      <c r="D410" s="58"/>
      <c r="E410" s="59"/>
      <c r="F410" s="58"/>
      <c r="G410" s="58"/>
      <c r="H410" s="58"/>
      <c r="I410" s="58"/>
      <c r="J410" s="58"/>
      <c r="K410" s="60"/>
    </row>
    <row r="411" spans="1:11" s="52" customFormat="1" ht="12" x14ac:dyDescent="0.2">
      <c r="A411" s="57"/>
      <c r="B411" s="58"/>
      <c r="C411" s="58"/>
      <c r="D411" s="58"/>
      <c r="E411" s="59"/>
      <c r="F411" s="58"/>
      <c r="G411" s="58"/>
      <c r="H411" s="58"/>
      <c r="I411" s="58"/>
      <c r="J411" s="58"/>
      <c r="K411" s="60"/>
    </row>
    <row r="412" spans="1:11" s="52" customFormat="1" ht="12" x14ac:dyDescent="0.2">
      <c r="A412" s="57"/>
      <c r="B412" s="58"/>
      <c r="C412" s="58"/>
      <c r="D412" s="58"/>
      <c r="E412" s="59"/>
      <c r="F412" s="58"/>
      <c r="G412" s="58"/>
      <c r="H412" s="58"/>
      <c r="I412" s="58"/>
      <c r="J412" s="58"/>
      <c r="K412" s="60"/>
    </row>
    <row r="413" spans="1:11" s="52" customFormat="1" ht="12" x14ac:dyDescent="0.2">
      <c r="A413" s="57"/>
      <c r="B413" s="58"/>
      <c r="C413" s="58"/>
      <c r="D413" s="58"/>
      <c r="E413" s="59"/>
      <c r="F413" s="58"/>
      <c r="G413" s="58"/>
      <c r="H413" s="58"/>
      <c r="I413" s="58"/>
      <c r="J413" s="58"/>
      <c r="K413" s="60"/>
    </row>
    <row r="414" spans="1:11" s="52" customFormat="1" ht="12" x14ac:dyDescent="0.2">
      <c r="A414" s="57"/>
      <c r="B414" s="58"/>
      <c r="C414" s="58"/>
      <c r="D414" s="58"/>
      <c r="E414" s="59"/>
      <c r="F414" s="58"/>
      <c r="G414" s="58"/>
      <c r="H414" s="58"/>
      <c r="I414" s="58"/>
      <c r="J414" s="58"/>
      <c r="K414" s="60"/>
    </row>
    <row r="415" spans="1:11" s="52" customFormat="1" ht="12" x14ac:dyDescent="0.2">
      <c r="A415" s="57"/>
      <c r="B415" s="58"/>
      <c r="C415" s="58"/>
      <c r="D415" s="58"/>
      <c r="E415" s="59"/>
      <c r="F415" s="58"/>
      <c r="G415" s="58"/>
      <c r="H415" s="58"/>
      <c r="I415" s="58"/>
      <c r="J415" s="58"/>
      <c r="K415" s="60"/>
    </row>
    <row r="416" spans="1:11" s="52" customFormat="1" ht="12" x14ac:dyDescent="0.2">
      <c r="A416" s="57"/>
      <c r="B416" s="58"/>
      <c r="C416" s="58"/>
      <c r="D416" s="58"/>
      <c r="E416" s="59"/>
      <c r="F416" s="58"/>
      <c r="G416" s="58"/>
      <c r="H416" s="58"/>
      <c r="I416" s="58"/>
      <c r="J416" s="58"/>
      <c r="K416" s="60"/>
    </row>
    <row r="417" spans="1:11" s="52" customFormat="1" ht="12" x14ac:dyDescent="0.2">
      <c r="A417" s="57"/>
      <c r="B417" s="58"/>
      <c r="C417" s="58"/>
      <c r="D417" s="58"/>
      <c r="E417" s="59"/>
      <c r="F417" s="58"/>
      <c r="G417" s="58"/>
      <c r="H417" s="58"/>
      <c r="I417" s="58"/>
      <c r="J417" s="58"/>
      <c r="K417" s="60"/>
    </row>
    <row r="418" spans="1:11" s="52" customFormat="1" ht="12" x14ac:dyDescent="0.2">
      <c r="A418" s="57"/>
      <c r="B418" s="58"/>
      <c r="C418" s="58"/>
      <c r="D418" s="58"/>
      <c r="E418" s="59"/>
      <c r="F418" s="58"/>
      <c r="G418" s="58"/>
      <c r="H418" s="58"/>
      <c r="I418" s="58"/>
      <c r="J418" s="58"/>
      <c r="K418" s="60"/>
    </row>
    <row r="419" spans="1:11" s="52" customFormat="1" ht="12" x14ac:dyDescent="0.2">
      <c r="A419" s="57"/>
      <c r="B419" s="58"/>
      <c r="C419" s="58"/>
      <c r="D419" s="58"/>
      <c r="E419" s="59"/>
      <c r="F419" s="58"/>
      <c r="G419" s="58"/>
      <c r="H419" s="58"/>
      <c r="I419" s="58"/>
      <c r="J419" s="58"/>
      <c r="K419" s="60"/>
    </row>
    <row r="420" spans="1:11" s="52" customFormat="1" ht="12" x14ac:dyDescent="0.2">
      <c r="A420" s="57"/>
      <c r="B420" s="58"/>
      <c r="C420" s="58"/>
      <c r="D420" s="58"/>
      <c r="E420" s="59"/>
      <c r="F420" s="58"/>
      <c r="G420" s="58"/>
      <c r="H420" s="58"/>
      <c r="I420" s="58"/>
      <c r="J420" s="58"/>
      <c r="K420" s="60"/>
    </row>
    <row r="421" spans="1:11" s="52" customFormat="1" ht="12" x14ac:dyDescent="0.2">
      <c r="A421" s="57"/>
      <c r="B421" s="58"/>
      <c r="C421" s="58"/>
      <c r="D421" s="58"/>
      <c r="E421" s="59"/>
      <c r="F421" s="58"/>
      <c r="G421" s="58"/>
      <c r="H421" s="58"/>
      <c r="I421" s="58"/>
      <c r="J421" s="58"/>
      <c r="K421" s="60"/>
    </row>
    <row r="422" spans="1:11" s="52" customFormat="1" ht="12" x14ac:dyDescent="0.2">
      <c r="A422" s="57"/>
      <c r="B422" s="58"/>
      <c r="C422" s="58"/>
      <c r="D422" s="58"/>
      <c r="E422" s="59"/>
      <c r="F422" s="58"/>
      <c r="G422" s="58"/>
      <c r="H422" s="58"/>
      <c r="I422" s="58"/>
      <c r="J422" s="58"/>
      <c r="K422" s="60"/>
    </row>
    <row r="423" spans="1:11" s="52" customFormat="1" ht="12" x14ac:dyDescent="0.2">
      <c r="A423" s="57"/>
      <c r="B423" s="58"/>
      <c r="C423" s="58"/>
      <c r="D423" s="58"/>
      <c r="E423" s="59"/>
      <c r="F423" s="58"/>
      <c r="G423" s="58"/>
      <c r="H423" s="58"/>
      <c r="I423" s="58"/>
      <c r="J423" s="58"/>
      <c r="K423" s="60"/>
    </row>
    <row r="424" spans="1:11" s="52" customFormat="1" ht="12" x14ac:dyDescent="0.2">
      <c r="A424" s="57"/>
      <c r="B424" s="58"/>
      <c r="C424" s="58"/>
      <c r="D424" s="58"/>
      <c r="E424" s="59"/>
      <c r="F424" s="58"/>
      <c r="G424" s="58"/>
      <c r="H424" s="58"/>
      <c r="I424" s="58"/>
      <c r="J424" s="58"/>
      <c r="K424" s="60"/>
    </row>
    <row r="425" spans="1:11" s="52" customFormat="1" ht="12" x14ac:dyDescent="0.2">
      <c r="A425" s="57"/>
      <c r="B425" s="58"/>
      <c r="C425" s="58"/>
      <c r="D425" s="58"/>
      <c r="E425" s="59"/>
      <c r="F425" s="58"/>
      <c r="G425" s="58"/>
      <c r="H425" s="58"/>
      <c r="I425" s="58"/>
      <c r="J425" s="58"/>
      <c r="K425" s="60"/>
    </row>
    <row r="426" spans="1:11" s="52" customFormat="1" ht="12" x14ac:dyDescent="0.2">
      <c r="A426" s="57"/>
      <c r="B426" s="58"/>
      <c r="C426" s="58"/>
      <c r="D426" s="58"/>
      <c r="E426" s="59"/>
      <c r="F426" s="58"/>
      <c r="G426" s="58"/>
      <c r="H426" s="58"/>
      <c r="I426" s="58"/>
      <c r="J426" s="58"/>
      <c r="K426" s="60"/>
    </row>
    <row r="427" spans="1:11" s="52" customFormat="1" ht="12" x14ac:dyDescent="0.2">
      <c r="A427" s="57"/>
      <c r="B427" s="58"/>
      <c r="C427" s="58"/>
      <c r="D427" s="58"/>
      <c r="E427" s="59"/>
      <c r="F427" s="58"/>
      <c r="G427" s="58"/>
      <c r="H427" s="58"/>
      <c r="I427" s="58"/>
      <c r="J427" s="58"/>
      <c r="K427" s="60"/>
    </row>
    <row r="428" spans="1:11" s="52" customFormat="1" ht="12" x14ac:dyDescent="0.2">
      <c r="A428" s="57"/>
      <c r="B428" s="58"/>
      <c r="C428" s="58"/>
      <c r="D428" s="58"/>
      <c r="E428" s="59"/>
      <c r="F428" s="58"/>
      <c r="G428" s="58"/>
      <c r="H428" s="58"/>
      <c r="I428" s="58"/>
      <c r="J428" s="58"/>
      <c r="K428" s="60"/>
    </row>
    <row r="429" spans="1:11" s="52" customFormat="1" ht="12" x14ac:dyDescent="0.2">
      <c r="A429" s="57"/>
      <c r="B429" s="58"/>
      <c r="C429" s="58"/>
      <c r="D429" s="58"/>
      <c r="E429" s="59"/>
      <c r="F429" s="58"/>
      <c r="G429" s="58"/>
      <c r="H429" s="58"/>
      <c r="I429" s="58"/>
      <c r="J429" s="58"/>
      <c r="K429" s="60"/>
    </row>
    <row r="430" spans="1:11" s="52" customFormat="1" ht="12" x14ac:dyDescent="0.2">
      <c r="A430" s="57"/>
      <c r="B430" s="58"/>
      <c r="C430" s="58"/>
      <c r="D430" s="58"/>
      <c r="E430" s="59"/>
      <c r="F430" s="58"/>
      <c r="G430" s="58"/>
      <c r="H430" s="58"/>
      <c r="I430" s="58"/>
      <c r="J430" s="58"/>
      <c r="K430" s="60"/>
    </row>
    <row r="431" spans="1:11" s="52" customFormat="1" ht="12" x14ac:dyDescent="0.2">
      <c r="A431" s="57"/>
      <c r="B431" s="58"/>
      <c r="C431" s="58"/>
      <c r="D431" s="58"/>
      <c r="E431" s="59"/>
      <c r="F431" s="58"/>
      <c r="G431" s="58"/>
      <c r="H431" s="58"/>
      <c r="I431" s="58"/>
      <c r="J431" s="58"/>
      <c r="K431" s="60"/>
    </row>
    <row r="432" spans="1:11" s="52" customFormat="1" ht="12" x14ac:dyDescent="0.2">
      <c r="A432" s="57"/>
      <c r="B432" s="58"/>
      <c r="C432" s="58"/>
      <c r="D432" s="58"/>
      <c r="E432" s="59"/>
      <c r="F432" s="58"/>
      <c r="G432" s="58"/>
      <c r="H432" s="58"/>
      <c r="I432" s="58"/>
      <c r="J432" s="58"/>
      <c r="K432" s="60"/>
    </row>
    <row r="433" spans="1:11" s="52" customFormat="1" ht="12" x14ac:dyDescent="0.2">
      <c r="A433" s="57"/>
      <c r="B433" s="58"/>
      <c r="C433" s="58"/>
      <c r="D433" s="58"/>
      <c r="E433" s="59"/>
      <c r="F433" s="58"/>
      <c r="G433" s="58"/>
      <c r="H433" s="58"/>
      <c r="I433" s="58"/>
      <c r="J433" s="58"/>
      <c r="K433" s="60"/>
    </row>
    <row r="434" spans="1:11" s="52" customFormat="1" ht="12" x14ac:dyDescent="0.2">
      <c r="A434" s="57"/>
      <c r="B434" s="58"/>
      <c r="C434" s="58"/>
      <c r="D434" s="58"/>
      <c r="E434" s="59"/>
      <c r="F434" s="58"/>
      <c r="G434" s="58"/>
      <c r="H434" s="58"/>
      <c r="I434" s="58"/>
      <c r="J434" s="58"/>
      <c r="K434" s="60"/>
    </row>
    <row r="435" spans="1:11" s="52" customFormat="1" ht="12" x14ac:dyDescent="0.2">
      <c r="A435" s="57"/>
      <c r="B435" s="58"/>
      <c r="C435" s="58"/>
      <c r="D435" s="58"/>
      <c r="E435" s="59"/>
      <c r="F435" s="58"/>
      <c r="G435" s="58"/>
      <c r="H435" s="58"/>
      <c r="I435" s="58"/>
      <c r="J435" s="58"/>
      <c r="K435" s="60"/>
    </row>
    <row r="436" spans="1:11" s="52" customFormat="1" ht="12" x14ac:dyDescent="0.2">
      <c r="A436" s="57"/>
      <c r="B436" s="58"/>
      <c r="C436" s="58"/>
      <c r="D436" s="58"/>
      <c r="E436" s="59"/>
      <c r="F436" s="58"/>
      <c r="G436" s="58"/>
      <c r="H436" s="58"/>
      <c r="I436" s="58"/>
      <c r="J436" s="58"/>
      <c r="K436" s="60"/>
    </row>
    <row r="437" spans="1:11" s="52" customFormat="1" ht="12" x14ac:dyDescent="0.2">
      <c r="A437" s="57"/>
      <c r="B437" s="58"/>
      <c r="C437" s="58"/>
      <c r="D437" s="58"/>
      <c r="E437" s="59"/>
      <c r="F437" s="58"/>
      <c r="G437" s="58"/>
      <c r="H437" s="58"/>
      <c r="I437" s="58"/>
      <c r="J437" s="58"/>
      <c r="K437" s="60"/>
    </row>
    <row r="438" spans="1:11" s="52" customFormat="1" ht="12" x14ac:dyDescent="0.2">
      <c r="A438" s="57"/>
      <c r="B438" s="58"/>
      <c r="C438" s="58"/>
      <c r="D438" s="58"/>
      <c r="E438" s="59"/>
      <c r="F438" s="58"/>
      <c r="G438" s="58"/>
      <c r="H438" s="58"/>
      <c r="I438" s="58"/>
      <c r="J438" s="58"/>
      <c r="K438" s="60"/>
    </row>
    <row r="439" spans="1:11" s="52" customFormat="1" ht="12" x14ac:dyDescent="0.2">
      <c r="A439" s="57"/>
      <c r="B439" s="58"/>
      <c r="C439" s="58"/>
      <c r="D439" s="58"/>
      <c r="E439" s="59"/>
      <c r="F439" s="58"/>
      <c r="G439" s="58"/>
      <c r="H439" s="58"/>
      <c r="I439" s="58"/>
      <c r="J439" s="58"/>
      <c r="K439" s="60"/>
    </row>
    <row r="440" spans="1:11" s="52" customFormat="1" ht="12" x14ac:dyDescent="0.2">
      <c r="A440" s="57"/>
      <c r="B440" s="58"/>
      <c r="C440" s="58"/>
      <c r="D440" s="58"/>
      <c r="E440" s="59"/>
      <c r="F440" s="58"/>
      <c r="G440" s="58"/>
      <c r="H440" s="58"/>
      <c r="I440" s="58"/>
      <c r="J440" s="58"/>
      <c r="K440" s="60"/>
    </row>
    <row r="441" spans="1:11" s="52" customFormat="1" ht="12" x14ac:dyDescent="0.2">
      <c r="A441" s="57"/>
      <c r="B441" s="58"/>
      <c r="C441" s="58"/>
      <c r="D441" s="58"/>
      <c r="E441" s="59"/>
      <c r="F441" s="58"/>
      <c r="G441" s="58"/>
      <c r="H441" s="58"/>
      <c r="I441" s="58"/>
      <c r="J441" s="58"/>
      <c r="K441" s="60"/>
    </row>
    <row r="442" spans="1:11" s="52" customFormat="1" ht="12" x14ac:dyDescent="0.2">
      <c r="A442" s="57"/>
      <c r="B442" s="58"/>
      <c r="C442" s="58"/>
      <c r="D442" s="58"/>
      <c r="E442" s="59"/>
      <c r="F442" s="58"/>
      <c r="G442" s="58"/>
      <c r="H442" s="58"/>
      <c r="I442" s="58"/>
      <c r="J442" s="58"/>
      <c r="K442" s="60"/>
    </row>
    <row r="443" spans="1:11" s="52" customFormat="1" ht="12" x14ac:dyDescent="0.2">
      <c r="A443" s="57"/>
      <c r="B443" s="58"/>
      <c r="C443" s="58"/>
      <c r="D443" s="58"/>
      <c r="E443" s="59"/>
      <c r="F443" s="58"/>
      <c r="G443" s="58"/>
      <c r="H443" s="58"/>
      <c r="I443" s="58"/>
      <c r="J443" s="58"/>
      <c r="K443" s="60"/>
    </row>
    <row r="444" spans="1:11" s="52" customFormat="1" ht="12" x14ac:dyDescent="0.2">
      <c r="A444" s="57"/>
      <c r="B444" s="58"/>
      <c r="C444" s="58"/>
      <c r="D444" s="58"/>
      <c r="E444" s="59"/>
      <c r="F444" s="58"/>
      <c r="G444" s="58"/>
      <c r="H444" s="58"/>
      <c r="I444" s="58"/>
      <c r="J444" s="58"/>
      <c r="K444" s="60"/>
    </row>
    <row r="445" spans="1:11" s="52" customFormat="1" ht="12" x14ac:dyDescent="0.2">
      <c r="A445" s="57"/>
      <c r="B445" s="58"/>
      <c r="C445" s="58"/>
      <c r="D445" s="58"/>
      <c r="E445" s="59"/>
      <c r="F445" s="58"/>
      <c r="G445" s="58"/>
      <c r="H445" s="58"/>
      <c r="I445" s="58"/>
      <c r="J445" s="58"/>
      <c r="K445" s="60"/>
    </row>
    <row r="446" spans="1:11" s="52" customFormat="1" ht="12" x14ac:dyDescent="0.2">
      <c r="A446" s="57"/>
      <c r="B446" s="58"/>
      <c r="C446" s="58"/>
      <c r="D446" s="58"/>
      <c r="E446" s="59"/>
      <c r="F446" s="58"/>
      <c r="G446" s="58"/>
      <c r="H446" s="58"/>
      <c r="I446" s="58"/>
      <c r="J446" s="58"/>
      <c r="K446" s="60"/>
    </row>
    <row r="447" spans="1:11" s="52" customFormat="1" ht="12" x14ac:dyDescent="0.2">
      <c r="A447" s="57"/>
      <c r="B447" s="58"/>
      <c r="C447" s="58"/>
      <c r="D447" s="58"/>
      <c r="E447" s="59"/>
      <c r="F447" s="58"/>
      <c r="G447" s="58"/>
      <c r="H447" s="58"/>
      <c r="I447" s="58"/>
      <c r="J447" s="58"/>
      <c r="K447" s="60"/>
    </row>
    <row r="448" spans="1:11" s="52" customFormat="1" ht="12" x14ac:dyDescent="0.2">
      <c r="A448" s="57"/>
      <c r="B448" s="58"/>
      <c r="C448" s="58"/>
      <c r="D448" s="58"/>
      <c r="E448" s="59"/>
      <c r="F448" s="58"/>
      <c r="G448" s="58"/>
      <c r="H448" s="58"/>
      <c r="I448" s="58"/>
      <c r="J448" s="58"/>
      <c r="K448" s="60"/>
    </row>
    <row r="449" spans="1:11" s="52" customFormat="1" ht="12" x14ac:dyDescent="0.2">
      <c r="A449" s="57"/>
      <c r="B449" s="58"/>
      <c r="C449" s="58"/>
      <c r="D449" s="58"/>
      <c r="E449" s="59"/>
      <c r="F449" s="58"/>
      <c r="G449" s="58"/>
      <c r="H449" s="58"/>
      <c r="I449" s="58"/>
      <c r="J449" s="58"/>
      <c r="K449" s="60"/>
    </row>
    <row r="450" spans="1:11" s="52" customFormat="1" ht="12" x14ac:dyDescent="0.2">
      <c r="A450" s="57"/>
      <c r="B450" s="58"/>
      <c r="C450" s="58"/>
      <c r="D450" s="58"/>
      <c r="E450" s="59"/>
      <c r="F450" s="58"/>
      <c r="G450" s="58"/>
      <c r="H450" s="58"/>
      <c r="I450" s="58"/>
      <c r="J450" s="58"/>
      <c r="K450" s="60"/>
    </row>
    <row r="451" spans="1:11" s="52" customFormat="1" ht="12" x14ac:dyDescent="0.2">
      <c r="A451" s="57"/>
      <c r="B451" s="58"/>
      <c r="C451" s="58"/>
      <c r="D451" s="58"/>
      <c r="E451" s="59"/>
      <c r="F451" s="58"/>
      <c r="G451" s="58"/>
      <c r="H451" s="58"/>
      <c r="I451" s="58"/>
      <c r="J451" s="58"/>
      <c r="K451" s="60"/>
    </row>
    <row r="452" spans="1:11" s="52" customFormat="1" ht="12" x14ac:dyDescent="0.2">
      <c r="A452" s="57"/>
      <c r="B452" s="58"/>
      <c r="C452" s="58"/>
      <c r="D452" s="58"/>
      <c r="E452" s="59"/>
      <c r="F452" s="58"/>
      <c r="G452" s="58"/>
      <c r="H452" s="58"/>
      <c r="I452" s="58"/>
      <c r="J452" s="58"/>
      <c r="K452" s="60"/>
    </row>
    <row r="453" spans="1:11" s="52" customFormat="1" ht="12" x14ac:dyDescent="0.2">
      <c r="A453" s="57"/>
      <c r="B453" s="58"/>
      <c r="C453" s="58"/>
      <c r="D453" s="58"/>
      <c r="E453" s="59"/>
      <c r="F453" s="58"/>
      <c r="G453" s="58"/>
      <c r="H453" s="58"/>
      <c r="I453" s="58"/>
      <c r="J453" s="58"/>
      <c r="K453" s="60"/>
    </row>
    <row r="454" spans="1:11" s="52" customFormat="1" ht="12" x14ac:dyDescent="0.2">
      <c r="A454" s="57"/>
      <c r="B454" s="58"/>
      <c r="C454" s="58"/>
      <c r="D454" s="58"/>
      <c r="E454" s="59"/>
      <c r="F454" s="58"/>
      <c r="G454" s="58"/>
      <c r="H454" s="58"/>
      <c r="I454" s="58"/>
      <c r="J454" s="58"/>
      <c r="K454" s="60"/>
    </row>
    <row r="455" spans="1:11" s="52" customFormat="1" ht="12" x14ac:dyDescent="0.2">
      <c r="A455" s="57"/>
      <c r="B455" s="58"/>
      <c r="C455" s="58"/>
      <c r="D455" s="58"/>
      <c r="E455" s="59"/>
      <c r="F455" s="58"/>
      <c r="G455" s="58"/>
      <c r="H455" s="58"/>
      <c r="I455" s="58"/>
      <c r="J455" s="58"/>
      <c r="K455" s="60"/>
    </row>
    <row r="456" spans="1:11" s="52" customFormat="1" ht="12" x14ac:dyDescent="0.2">
      <c r="A456" s="57"/>
      <c r="B456" s="58"/>
      <c r="C456" s="58"/>
      <c r="D456" s="58"/>
      <c r="E456" s="59"/>
      <c r="F456" s="58"/>
      <c r="G456" s="58"/>
      <c r="H456" s="58"/>
      <c r="I456" s="58"/>
      <c r="J456" s="58"/>
      <c r="K456" s="60"/>
    </row>
    <row r="457" spans="1:11" s="52" customFormat="1" ht="12" x14ac:dyDescent="0.2">
      <c r="A457" s="57"/>
      <c r="B457" s="58"/>
      <c r="C457" s="58"/>
      <c r="D457" s="58"/>
      <c r="E457" s="59"/>
      <c r="F457" s="58"/>
      <c r="G457" s="58"/>
      <c r="H457" s="58"/>
      <c r="I457" s="58"/>
      <c r="J457" s="58"/>
      <c r="K457" s="60"/>
    </row>
    <row r="458" spans="1:11" s="52" customFormat="1" ht="12" x14ac:dyDescent="0.2">
      <c r="A458" s="57"/>
      <c r="B458" s="58"/>
      <c r="C458" s="58"/>
      <c r="D458" s="58"/>
      <c r="E458" s="59"/>
      <c r="F458" s="58"/>
      <c r="G458" s="58"/>
      <c r="H458" s="58"/>
      <c r="I458" s="58"/>
      <c r="J458" s="58"/>
      <c r="K458" s="60"/>
    </row>
    <row r="459" spans="1:11" s="52" customFormat="1" ht="12" x14ac:dyDescent="0.2">
      <c r="A459" s="57"/>
      <c r="B459" s="58"/>
      <c r="C459" s="58"/>
      <c r="D459" s="58"/>
      <c r="E459" s="59"/>
      <c r="F459" s="58"/>
      <c r="G459" s="58"/>
      <c r="H459" s="58"/>
      <c r="I459" s="58"/>
      <c r="J459" s="58"/>
      <c r="K459" s="60"/>
    </row>
    <row r="460" spans="1:11" s="52" customFormat="1" ht="12" x14ac:dyDescent="0.2">
      <c r="A460" s="57"/>
      <c r="B460" s="58"/>
      <c r="C460" s="58"/>
      <c r="D460" s="58"/>
      <c r="E460" s="59"/>
      <c r="F460" s="58"/>
      <c r="G460" s="58"/>
      <c r="H460" s="58"/>
      <c r="I460" s="58"/>
      <c r="J460" s="58"/>
      <c r="K460" s="60"/>
    </row>
    <row r="461" spans="1:11" s="52" customFormat="1" ht="12" x14ac:dyDescent="0.2">
      <c r="A461" s="57"/>
      <c r="B461" s="58"/>
      <c r="C461" s="58"/>
      <c r="D461" s="58"/>
      <c r="E461" s="59"/>
      <c r="F461" s="58"/>
      <c r="G461" s="58"/>
      <c r="H461" s="58"/>
      <c r="I461" s="58"/>
      <c r="J461" s="58"/>
      <c r="K461" s="60"/>
    </row>
    <row r="462" spans="1:11" s="52" customFormat="1" ht="12" x14ac:dyDescent="0.2">
      <c r="A462" s="57"/>
      <c r="B462" s="58"/>
      <c r="C462" s="58"/>
      <c r="D462" s="58"/>
      <c r="E462" s="59"/>
      <c r="F462" s="58"/>
      <c r="G462" s="58"/>
      <c r="H462" s="58"/>
      <c r="I462" s="58"/>
      <c r="J462" s="58"/>
      <c r="K462" s="60"/>
    </row>
    <row r="463" spans="1:11" s="52" customFormat="1" ht="12" x14ac:dyDescent="0.2">
      <c r="A463" s="57"/>
      <c r="B463" s="58"/>
      <c r="C463" s="58"/>
      <c r="D463" s="58"/>
      <c r="E463" s="59"/>
      <c r="F463" s="58"/>
      <c r="G463" s="58"/>
      <c r="H463" s="58"/>
      <c r="I463" s="58"/>
      <c r="J463" s="58"/>
      <c r="K463" s="60"/>
    </row>
    <row r="464" spans="1:11" s="52" customFormat="1" ht="12" x14ac:dyDescent="0.2">
      <c r="A464" s="57"/>
      <c r="B464" s="58"/>
      <c r="C464" s="58"/>
      <c r="D464" s="58"/>
      <c r="E464" s="59"/>
      <c r="F464" s="58"/>
      <c r="G464" s="58"/>
      <c r="H464" s="58"/>
      <c r="I464" s="58"/>
      <c r="J464" s="58"/>
      <c r="K464" s="60"/>
    </row>
    <row r="465" spans="1:11" s="52" customFormat="1" ht="12" x14ac:dyDescent="0.2">
      <c r="A465" s="57"/>
      <c r="B465" s="58"/>
      <c r="C465" s="58"/>
      <c r="D465" s="58"/>
      <c r="E465" s="59"/>
      <c r="F465" s="58"/>
      <c r="G465" s="58"/>
      <c r="H465" s="58"/>
      <c r="I465" s="58"/>
      <c r="J465" s="58"/>
      <c r="K465" s="60"/>
    </row>
    <row r="466" spans="1:11" s="52" customFormat="1" ht="12" x14ac:dyDescent="0.2">
      <c r="A466" s="57"/>
      <c r="B466" s="58"/>
      <c r="C466" s="58"/>
      <c r="D466" s="58"/>
      <c r="E466" s="59"/>
      <c r="F466" s="58"/>
      <c r="G466" s="58"/>
      <c r="H466" s="58"/>
      <c r="I466" s="58"/>
      <c r="J466" s="58"/>
      <c r="K466" s="60"/>
    </row>
    <row r="467" spans="1:11" s="52" customFormat="1" ht="12" x14ac:dyDescent="0.2">
      <c r="A467" s="57"/>
      <c r="B467" s="58"/>
      <c r="C467" s="58"/>
      <c r="D467" s="58"/>
      <c r="E467" s="59"/>
      <c r="F467" s="58"/>
      <c r="G467" s="58"/>
      <c r="H467" s="58"/>
      <c r="I467" s="58"/>
      <c r="J467" s="58"/>
      <c r="K467" s="60"/>
    </row>
    <row r="468" spans="1:11" s="52" customFormat="1" ht="12" x14ac:dyDescent="0.2">
      <c r="A468" s="57"/>
      <c r="B468" s="58"/>
      <c r="C468" s="58"/>
      <c r="D468" s="58"/>
      <c r="E468" s="59"/>
      <c r="F468" s="58"/>
      <c r="G468" s="58"/>
      <c r="H468" s="58"/>
      <c r="I468" s="58"/>
      <c r="J468" s="58"/>
      <c r="K468" s="60"/>
    </row>
    <row r="469" spans="1:11" s="52" customFormat="1" ht="12" x14ac:dyDescent="0.2">
      <c r="A469" s="57"/>
      <c r="B469" s="58"/>
      <c r="C469" s="58"/>
      <c r="D469" s="58"/>
      <c r="E469" s="59"/>
      <c r="F469" s="58"/>
      <c r="G469" s="58"/>
      <c r="H469" s="58"/>
      <c r="I469" s="58"/>
      <c r="J469" s="58"/>
      <c r="K469" s="60"/>
    </row>
    <row r="470" spans="1:11" s="52" customFormat="1" ht="12" x14ac:dyDescent="0.2">
      <c r="A470" s="57"/>
      <c r="B470" s="58"/>
      <c r="C470" s="58"/>
      <c r="D470" s="58"/>
      <c r="E470" s="59"/>
      <c r="F470" s="58"/>
      <c r="G470" s="58"/>
      <c r="H470" s="58"/>
      <c r="I470" s="58"/>
      <c r="J470" s="58"/>
      <c r="K470" s="60"/>
    </row>
    <row r="471" spans="1:11" s="52" customFormat="1" ht="12" x14ac:dyDescent="0.2">
      <c r="A471" s="57"/>
      <c r="B471" s="58"/>
      <c r="C471" s="58"/>
      <c r="D471" s="58"/>
      <c r="E471" s="59"/>
      <c r="F471" s="58"/>
      <c r="G471" s="58"/>
      <c r="H471" s="58"/>
      <c r="I471" s="58"/>
      <c r="J471" s="58"/>
      <c r="K471" s="60"/>
    </row>
    <row r="472" spans="1:11" s="52" customFormat="1" ht="12" x14ac:dyDescent="0.2">
      <c r="A472" s="57"/>
      <c r="B472" s="58"/>
      <c r="C472" s="58"/>
      <c r="D472" s="58"/>
      <c r="E472" s="59"/>
      <c r="F472" s="58"/>
      <c r="G472" s="58"/>
      <c r="H472" s="58"/>
      <c r="I472" s="58"/>
      <c r="J472" s="58"/>
      <c r="K472" s="60"/>
    </row>
    <row r="473" spans="1:11" s="52" customFormat="1" ht="12" x14ac:dyDescent="0.2">
      <c r="A473" s="57"/>
      <c r="B473" s="58"/>
      <c r="C473" s="58"/>
      <c r="D473" s="58"/>
      <c r="E473" s="59"/>
      <c r="F473" s="58"/>
      <c r="G473" s="58"/>
      <c r="H473" s="58"/>
      <c r="I473" s="58"/>
      <c r="J473" s="58"/>
      <c r="K473" s="60"/>
    </row>
    <row r="474" spans="1:11" s="52" customFormat="1" ht="12" x14ac:dyDescent="0.2">
      <c r="A474" s="57"/>
      <c r="B474" s="58"/>
      <c r="C474" s="58"/>
      <c r="D474" s="58"/>
      <c r="E474" s="59"/>
      <c r="F474" s="58"/>
      <c r="G474" s="58"/>
      <c r="H474" s="58"/>
      <c r="I474" s="58"/>
      <c r="J474" s="58"/>
      <c r="K474" s="60"/>
    </row>
    <row r="475" spans="1:11" s="52" customFormat="1" ht="12" x14ac:dyDescent="0.2">
      <c r="A475" s="57"/>
      <c r="B475" s="58"/>
      <c r="C475" s="58"/>
      <c r="D475" s="58"/>
      <c r="E475" s="59"/>
      <c r="F475" s="58"/>
      <c r="G475" s="58"/>
      <c r="H475" s="58"/>
      <c r="I475" s="58"/>
      <c r="J475" s="58"/>
      <c r="K475" s="60"/>
    </row>
    <row r="476" spans="1:11" s="52" customFormat="1" ht="12" x14ac:dyDescent="0.2">
      <c r="A476" s="57"/>
      <c r="B476" s="58"/>
      <c r="C476" s="58"/>
      <c r="D476" s="58"/>
      <c r="E476" s="59"/>
      <c r="F476" s="58"/>
      <c r="G476" s="58"/>
      <c r="H476" s="58"/>
      <c r="I476" s="58"/>
      <c r="J476" s="58"/>
      <c r="K476" s="60"/>
    </row>
    <row r="477" spans="1:11" s="52" customFormat="1" ht="12" x14ac:dyDescent="0.2">
      <c r="A477" s="57"/>
      <c r="B477" s="58"/>
      <c r="C477" s="58"/>
      <c r="D477" s="58"/>
      <c r="E477" s="59"/>
      <c r="F477" s="58"/>
      <c r="G477" s="58"/>
      <c r="H477" s="58"/>
      <c r="I477" s="58"/>
      <c r="J477" s="58"/>
      <c r="K477" s="60"/>
    </row>
    <row r="478" spans="1:11" s="52" customFormat="1" ht="12" x14ac:dyDescent="0.2">
      <c r="A478" s="57"/>
      <c r="B478" s="58"/>
      <c r="C478" s="58"/>
      <c r="D478" s="58"/>
      <c r="E478" s="59"/>
      <c r="F478" s="58"/>
      <c r="G478" s="58"/>
      <c r="H478" s="58"/>
      <c r="I478" s="58"/>
      <c r="J478" s="58"/>
      <c r="K478" s="60"/>
    </row>
    <row r="479" spans="1:11" s="52" customFormat="1" ht="12" x14ac:dyDescent="0.2">
      <c r="A479" s="57"/>
      <c r="B479" s="58"/>
      <c r="C479" s="58"/>
      <c r="D479" s="58"/>
      <c r="E479" s="59"/>
      <c r="F479" s="58"/>
      <c r="G479" s="58"/>
      <c r="H479" s="58"/>
      <c r="I479" s="58"/>
      <c r="J479" s="58"/>
      <c r="K479" s="60"/>
    </row>
    <row r="480" spans="1:11" s="52" customFormat="1" ht="12" x14ac:dyDescent="0.2">
      <c r="A480" s="57"/>
      <c r="B480" s="58"/>
      <c r="C480" s="58"/>
      <c r="D480" s="58"/>
      <c r="E480" s="59"/>
      <c r="F480" s="58"/>
      <c r="G480" s="58"/>
      <c r="H480" s="58"/>
      <c r="I480" s="58"/>
      <c r="J480" s="58"/>
      <c r="K480" s="60"/>
    </row>
    <row r="481" spans="1:11" s="52" customFormat="1" ht="12" x14ac:dyDescent="0.2">
      <c r="A481" s="57"/>
      <c r="B481" s="58"/>
      <c r="C481" s="58"/>
      <c r="D481" s="58"/>
      <c r="E481" s="59"/>
      <c r="F481" s="58"/>
      <c r="G481" s="58"/>
      <c r="H481" s="58"/>
      <c r="I481" s="58"/>
      <c r="J481" s="58"/>
      <c r="K481" s="60"/>
    </row>
    <row r="482" spans="1:11" s="52" customFormat="1" ht="12" x14ac:dyDescent="0.2">
      <c r="A482" s="57"/>
      <c r="B482" s="58"/>
      <c r="C482" s="58"/>
      <c r="D482" s="58"/>
      <c r="E482" s="59"/>
      <c r="F482" s="58"/>
      <c r="G482" s="58"/>
      <c r="H482" s="58"/>
      <c r="I482" s="58"/>
      <c r="J482" s="58"/>
      <c r="K482" s="60"/>
    </row>
    <row r="483" spans="1:11" s="52" customFormat="1" ht="12" x14ac:dyDescent="0.2">
      <c r="A483" s="57"/>
      <c r="B483" s="58"/>
      <c r="C483" s="58"/>
      <c r="D483" s="58"/>
      <c r="E483" s="59"/>
      <c r="F483" s="58"/>
      <c r="G483" s="58"/>
      <c r="H483" s="58"/>
      <c r="I483" s="58"/>
      <c r="J483" s="58"/>
      <c r="K483" s="60"/>
    </row>
    <row r="484" spans="1:11" s="52" customFormat="1" ht="12" x14ac:dyDescent="0.2">
      <c r="A484" s="57"/>
      <c r="B484" s="58"/>
      <c r="C484" s="58"/>
      <c r="D484" s="58"/>
      <c r="E484" s="59"/>
      <c r="F484" s="58"/>
      <c r="G484" s="58"/>
      <c r="H484" s="58"/>
      <c r="I484" s="58"/>
      <c r="J484" s="58"/>
      <c r="K484" s="60"/>
    </row>
    <row r="485" spans="1:11" s="52" customFormat="1" ht="12" x14ac:dyDescent="0.2">
      <c r="A485" s="57"/>
      <c r="B485" s="58"/>
      <c r="C485" s="58"/>
      <c r="D485" s="58"/>
      <c r="E485" s="59"/>
      <c r="F485" s="58"/>
      <c r="G485" s="58"/>
      <c r="H485" s="58"/>
      <c r="I485" s="58"/>
      <c r="J485" s="58"/>
      <c r="K485" s="60"/>
    </row>
    <row r="486" spans="1:11" s="52" customFormat="1" ht="12" x14ac:dyDescent="0.2">
      <c r="A486" s="57"/>
      <c r="B486" s="58"/>
      <c r="C486" s="58"/>
      <c r="D486" s="58"/>
      <c r="E486" s="59"/>
      <c r="F486" s="58"/>
      <c r="G486" s="58"/>
      <c r="H486" s="58"/>
      <c r="I486" s="58"/>
      <c r="J486" s="58"/>
      <c r="K486" s="60"/>
    </row>
    <row r="487" spans="1:11" s="52" customFormat="1" ht="12" x14ac:dyDescent="0.2">
      <c r="A487" s="57"/>
      <c r="B487" s="58"/>
      <c r="C487" s="58"/>
      <c r="D487" s="58"/>
      <c r="E487" s="59"/>
      <c r="F487" s="58"/>
      <c r="G487" s="58"/>
      <c r="H487" s="58"/>
      <c r="I487" s="58"/>
      <c r="J487" s="58"/>
      <c r="K487" s="60"/>
    </row>
    <row r="488" spans="1:11" s="52" customFormat="1" ht="12" x14ac:dyDescent="0.2">
      <c r="A488" s="57"/>
      <c r="B488" s="58"/>
      <c r="C488" s="58"/>
      <c r="D488" s="58"/>
      <c r="E488" s="59"/>
      <c r="F488" s="58"/>
      <c r="G488" s="58"/>
      <c r="H488" s="58"/>
      <c r="I488" s="58"/>
      <c r="J488" s="58"/>
      <c r="K488" s="60"/>
    </row>
    <row r="489" spans="1:11" s="52" customFormat="1" ht="12" x14ac:dyDescent="0.2">
      <c r="A489" s="57"/>
      <c r="B489" s="58"/>
      <c r="C489" s="58"/>
      <c r="D489" s="58"/>
      <c r="E489" s="59"/>
      <c r="F489" s="58"/>
      <c r="G489" s="58"/>
      <c r="H489" s="58"/>
      <c r="I489" s="58"/>
      <c r="J489" s="58"/>
      <c r="K489" s="60"/>
    </row>
    <row r="490" spans="1:11" s="52" customFormat="1" ht="12" x14ac:dyDescent="0.2">
      <c r="A490" s="57"/>
      <c r="B490" s="58"/>
      <c r="C490" s="58"/>
      <c r="D490" s="58"/>
      <c r="E490" s="59"/>
      <c r="F490" s="58"/>
      <c r="G490" s="58"/>
      <c r="H490" s="58"/>
      <c r="I490" s="58"/>
      <c r="J490" s="58"/>
      <c r="K490" s="60"/>
    </row>
    <row r="491" spans="1:11" s="52" customFormat="1" ht="12" x14ac:dyDescent="0.2">
      <c r="A491" s="57"/>
      <c r="B491" s="58"/>
      <c r="C491" s="58"/>
      <c r="D491" s="58"/>
      <c r="E491" s="59"/>
      <c r="F491" s="58"/>
      <c r="G491" s="58"/>
      <c r="H491" s="58"/>
      <c r="I491" s="58"/>
      <c r="J491" s="58"/>
      <c r="K491" s="60"/>
    </row>
    <row r="492" spans="1:11" s="52" customFormat="1" ht="12" x14ac:dyDescent="0.2">
      <c r="A492" s="57"/>
      <c r="B492" s="58"/>
      <c r="C492" s="58"/>
      <c r="D492" s="58"/>
      <c r="E492" s="59"/>
      <c r="F492" s="58"/>
      <c r="G492" s="58"/>
      <c r="H492" s="58"/>
      <c r="I492" s="58"/>
      <c r="J492" s="58"/>
      <c r="K492" s="60"/>
    </row>
    <row r="493" spans="1:11" s="52" customFormat="1" ht="12" x14ac:dyDescent="0.2">
      <c r="A493" s="57"/>
      <c r="B493" s="58"/>
      <c r="C493" s="58"/>
      <c r="D493" s="58"/>
      <c r="E493" s="59"/>
      <c r="F493" s="58"/>
      <c r="G493" s="58"/>
      <c r="H493" s="58"/>
      <c r="I493" s="58"/>
      <c r="J493" s="58"/>
      <c r="K493" s="60"/>
    </row>
    <row r="494" spans="1:11" s="52" customFormat="1" ht="12" x14ac:dyDescent="0.2">
      <c r="A494" s="57"/>
      <c r="B494" s="58"/>
      <c r="C494" s="58"/>
      <c r="D494" s="58"/>
      <c r="E494" s="59"/>
      <c r="F494" s="58"/>
      <c r="G494" s="58"/>
      <c r="H494" s="58"/>
      <c r="I494" s="58"/>
      <c r="J494" s="58"/>
      <c r="K494" s="60"/>
    </row>
    <row r="495" spans="1:11" s="52" customFormat="1" ht="12" x14ac:dyDescent="0.2">
      <c r="A495" s="57"/>
      <c r="B495" s="58"/>
      <c r="C495" s="58"/>
      <c r="D495" s="58"/>
      <c r="E495" s="59"/>
      <c r="F495" s="58"/>
      <c r="G495" s="58"/>
      <c r="H495" s="58"/>
      <c r="I495" s="58"/>
      <c r="J495" s="58"/>
      <c r="K495" s="60"/>
    </row>
    <row r="496" spans="1:11" s="52" customFormat="1" ht="12" x14ac:dyDescent="0.2">
      <c r="A496" s="57"/>
      <c r="B496" s="58"/>
      <c r="C496" s="58"/>
      <c r="D496" s="58"/>
      <c r="E496" s="59"/>
      <c r="F496" s="58"/>
      <c r="G496" s="58"/>
      <c r="H496" s="58"/>
      <c r="I496" s="58"/>
      <c r="J496" s="58"/>
      <c r="K496" s="60"/>
    </row>
    <row r="497" spans="1:11" s="52" customFormat="1" ht="12" x14ac:dyDescent="0.2">
      <c r="A497" s="57"/>
      <c r="B497" s="58"/>
      <c r="C497" s="58"/>
      <c r="D497" s="58"/>
      <c r="E497" s="59"/>
      <c r="F497" s="58"/>
      <c r="G497" s="58"/>
      <c r="H497" s="58"/>
      <c r="I497" s="58"/>
      <c r="J497" s="58"/>
      <c r="K497" s="60"/>
    </row>
    <row r="498" spans="1:11" s="52" customFormat="1" ht="12" x14ac:dyDescent="0.2">
      <c r="A498" s="57"/>
      <c r="B498" s="58"/>
      <c r="C498" s="58"/>
      <c r="D498" s="58"/>
      <c r="E498" s="59"/>
      <c r="F498" s="58"/>
      <c r="G498" s="58"/>
      <c r="H498" s="58"/>
      <c r="I498" s="58"/>
      <c r="J498" s="58"/>
      <c r="K498" s="60"/>
    </row>
    <row r="499" spans="1:11" s="52" customFormat="1" ht="12" x14ac:dyDescent="0.2">
      <c r="A499" s="57"/>
      <c r="B499" s="58"/>
      <c r="C499" s="58"/>
      <c r="D499" s="58"/>
      <c r="E499" s="59"/>
      <c r="F499" s="58"/>
      <c r="G499" s="58"/>
      <c r="H499" s="58"/>
      <c r="I499" s="58"/>
      <c r="J499" s="58"/>
      <c r="K499" s="60"/>
    </row>
    <row r="500" spans="1:11" s="52" customFormat="1" ht="12" x14ac:dyDescent="0.2">
      <c r="A500" s="57"/>
      <c r="B500" s="58"/>
      <c r="C500" s="58"/>
      <c r="D500" s="58"/>
      <c r="E500" s="59"/>
      <c r="F500" s="58"/>
      <c r="G500" s="58"/>
      <c r="H500" s="58"/>
      <c r="I500" s="58"/>
      <c r="J500" s="58"/>
      <c r="K500" s="60"/>
    </row>
    <row r="501" spans="1:11" s="52" customFormat="1" ht="12" x14ac:dyDescent="0.2">
      <c r="A501" s="57"/>
      <c r="B501" s="58"/>
      <c r="C501" s="58"/>
      <c r="D501" s="58"/>
      <c r="E501" s="59"/>
      <c r="F501" s="58"/>
      <c r="G501" s="58"/>
      <c r="H501" s="58"/>
      <c r="I501" s="58"/>
      <c r="J501" s="58"/>
      <c r="K501" s="60"/>
    </row>
    <row r="502" spans="1:11" s="52" customFormat="1" ht="12" x14ac:dyDescent="0.2">
      <c r="A502" s="57"/>
      <c r="B502" s="58"/>
      <c r="C502" s="58"/>
      <c r="D502" s="58"/>
      <c r="E502" s="59"/>
      <c r="F502" s="58"/>
      <c r="G502" s="58"/>
      <c r="H502" s="58"/>
      <c r="I502" s="58"/>
      <c r="J502" s="58"/>
      <c r="K502" s="60"/>
    </row>
    <row r="503" spans="1:11" s="52" customFormat="1" ht="12" x14ac:dyDescent="0.2">
      <c r="A503" s="57"/>
      <c r="B503" s="58"/>
      <c r="C503" s="58"/>
      <c r="D503" s="58"/>
      <c r="E503" s="59"/>
      <c r="F503" s="58"/>
      <c r="G503" s="58"/>
      <c r="H503" s="58"/>
      <c r="I503" s="58"/>
      <c r="J503" s="58"/>
      <c r="K503" s="60"/>
    </row>
    <row r="504" spans="1:11" s="52" customFormat="1" ht="12" x14ac:dyDescent="0.2">
      <c r="A504" s="57"/>
      <c r="B504" s="58"/>
      <c r="C504" s="58"/>
      <c r="D504" s="58"/>
      <c r="E504" s="59"/>
      <c r="F504" s="58"/>
      <c r="G504" s="58"/>
      <c r="H504" s="58"/>
      <c r="I504" s="58"/>
      <c r="J504" s="58"/>
      <c r="K504" s="60"/>
    </row>
    <row r="505" spans="1:11" s="52" customFormat="1" ht="12" x14ac:dyDescent="0.2">
      <c r="A505" s="57"/>
      <c r="B505" s="58"/>
      <c r="C505" s="58"/>
      <c r="D505" s="58"/>
      <c r="E505" s="59"/>
      <c r="F505" s="58"/>
      <c r="G505" s="58"/>
      <c r="H505" s="58"/>
      <c r="I505" s="58"/>
      <c r="J505" s="58"/>
      <c r="K505" s="60"/>
    </row>
    <row r="506" spans="1:11" s="52" customFormat="1" ht="12" x14ac:dyDescent="0.2">
      <c r="A506" s="57"/>
      <c r="B506" s="58"/>
      <c r="C506" s="58"/>
      <c r="D506" s="58"/>
      <c r="E506" s="59"/>
      <c r="F506" s="58"/>
      <c r="G506" s="58"/>
      <c r="H506" s="58"/>
      <c r="I506" s="58"/>
      <c r="J506" s="58"/>
      <c r="K506" s="60"/>
    </row>
    <row r="507" spans="1:11" s="52" customFormat="1" ht="12" x14ac:dyDescent="0.2">
      <c r="A507" s="57"/>
      <c r="B507" s="58"/>
      <c r="C507" s="58"/>
      <c r="D507" s="58"/>
      <c r="E507" s="59"/>
      <c r="F507" s="58"/>
      <c r="G507" s="58"/>
      <c r="H507" s="58"/>
      <c r="I507" s="58"/>
      <c r="J507" s="58"/>
      <c r="K507" s="60"/>
    </row>
    <row r="508" spans="1:11" s="52" customFormat="1" ht="12" x14ac:dyDescent="0.2">
      <c r="A508" s="57"/>
      <c r="B508" s="58"/>
      <c r="C508" s="58"/>
      <c r="D508" s="58"/>
      <c r="E508" s="59"/>
      <c r="F508" s="58"/>
      <c r="G508" s="58"/>
      <c r="H508" s="58"/>
      <c r="I508" s="58"/>
      <c r="J508" s="58"/>
      <c r="K508" s="60"/>
    </row>
    <row r="509" spans="1:11" s="52" customFormat="1" ht="12" x14ac:dyDescent="0.2">
      <c r="A509" s="57"/>
      <c r="B509" s="58"/>
      <c r="C509" s="58"/>
      <c r="D509" s="58"/>
      <c r="E509" s="59"/>
      <c r="F509" s="58"/>
      <c r="G509" s="58"/>
      <c r="H509" s="58"/>
      <c r="I509" s="58"/>
      <c r="J509" s="58"/>
      <c r="K509" s="60"/>
    </row>
    <row r="510" spans="1:11" s="52" customFormat="1" ht="12" x14ac:dyDescent="0.2">
      <c r="A510" s="57"/>
      <c r="B510" s="58"/>
      <c r="C510" s="58"/>
      <c r="D510" s="58"/>
      <c r="E510" s="59"/>
      <c r="F510" s="58"/>
      <c r="G510" s="58"/>
      <c r="H510" s="58"/>
      <c r="I510" s="58"/>
      <c r="J510" s="58"/>
      <c r="K510" s="60"/>
    </row>
    <row r="511" spans="1:11" s="52" customFormat="1" ht="12" x14ac:dyDescent="0.2">
      <c r="A511" s="57"/>
      <c r="B511" s="58"/>
      <c r="C511" s="58"/>
      <c r="D511" s="58"/>
      <c r="E511" s="59"/>
      <c r="F511" s="58"/>
      <c r="G511" s="58"/>
      <c r="H511" s="58"/>
      <c r="I511" s="58"/>
      <c r="J511" s="58"/>
      <c r="K511" s="60"/>
    </row>
    <row r="512" spans="1:11" s="52" customFormat="1" ht="12" x14ac:dyDescent="0.2">
      <c r="A512" s="57"/>
      <c r="B512" s="58"/>
      <c r="C512" s="58"/>
      <c r="D512" s="58"/>
      <c r="E512" s="59"/>
      <c r="F512" s="58"/>
      <c r="G512" s="58"/>
      <c r="H512" s="58"/>
      <c r="I512" s="58"/>
      <c r="J512" s="58"/>
      <c r="K512" s="60"/>
    </row>
    <row r="513" spans="1:11" s="52" customFormat="1" ht="12" x14ac:dyDescent="0.2">
      <c r="A513" s="57"/>
      <c r="B513" s="58"/>
      <c r="C513" s="58"/>
      <c r="D513" s="58"/>
      <c r="E513" s="59"/>
      <c r="F513" s="58"/>
      <c r="G513" s="58"/>
      <c r="H513" s="58"/>
      <c r="I513" s="58"/>
      <c r="J513" s="58"/>
      <c r="K513" s="60"/>
    </row>
    <row r="514" spans="1:11" s="52" customFormat="1" ht="12" x14ac:dyDescent="0.2">
      <c r="A514" s="57"/>
      <c r="B514" s="58"/>
      <c r="C514" s="58"/>
      <c r="D514" s="58"/>
      <c r="E514" s="59"/>
      <c r="F514" s="58"/>
      <c r="G514" s="58"/>
      <c r="H514" s="58"/>
      <c r="I514" s="58"/>
      <c r="J514" s="58"/>
      <c r="K514" s="60"/>
    </row>
    <row r="515" spans="1:11" s="52" customFormat="1" ht="12" x14ac:dyDescent="0.2">
      <c r="A515" s="57"/>
      <c r="B515" s="58"/>
      <c r="C515" s="58"/>
      <c r="D515" s="58"/>
      <c r="E515" s="59"/>
      <c r="F515" s="58"/>
      <c r="G515" s="58"/>
      <c r="H515" s="58"/>
      <c r="I515" s="58"/>
      <c r="J515" s="58"/>
      <c r="K515" s="60"/>
    </row>
    <row r="516" spans="1:11" s="52" customFormat="1" ht="12" x14ac:dyDescent="0.2">
      <c r="A516" s="57"/>
      <c r="B516" s="58"/>
      <c r="C516" s="58"/>
      <c r="D516" s="58"/>
      <c r="E516" s="59"/>
      <c r="F516" s="58"/>
      <c r="G516" s="58"/>
      <c r="H516" s="58"/>
      <c r="I516" s="58"/>
      <c r="J516" s="58"/>
      <c r="K516" s="60"/>
    </row>
    <row r="517" spans="1:11" s="52" customFormat="1" ht="12" x14ac:dyDescent="0.2">
      <c r="A517" s="57"/>
      <c r="B517" s="58"/>
      <c r="C517" s="58"/>
      <c r="D517" s="58"/>
      <c r="E517" s="59"/>
      <c r="F517" s="58"/>
      <c r="G517" s="58"/>
      <c r="H517" s="58"/>
      <c r="I517" s="58"/>
      <c r="J517" s="58"/>
      <c r="K517" s="60"/>
    </row>
    <row r="518" spans="1:11" s="52" customFormat="1" ht="12" x14ac:dyDescent="0.2">
      <c r="A518" s="57"/>
      <c r="B518" s="58"/>
      <c r="C518" s="58"/>
      <c r="D518" s="58"/>
      <c r="E518" s="59"/>
      <c r="F518" s="58"/>
      <c r="G518" s="58"/>
      <c r="H518" s="58"/>
      <c r="I518" s="58"/>
      <c r="J518" s="58"/>
      <c r="K518" s="60"/>
    </row>
    <row r="519" spans="1:11" s="52" customFormat="1" ht="12" x14ac:dyDescent="0.2">
      <c r="A519" s="57"/>
      <c r="B519" s="58"/>
      <c r="C519" s="58"/>
      <c r="D519" s="58"/>
      <c r="E519" s="59"/>
      <c r="F519" s="58"/>
      <c r="G519" s="58"/>
      <c r="H519" s="58"/>
      <c r="I519" s="58"/>
      <c r="J519" s="58"/>
      <c r="K519" s="60"/>
    </row>
    <row r="520" spans="1:11" s="52" customFormat="1" ht="12" x14ac:dyDescent="0.2">
      <c r="A520" s="57"/>
      <c r="B520" s="58"/>
      <c r="C520" s="58"/>
      <c r="D520" s="58"/>
      <c r="E520" s="59"/>
      <c r="F520" s="58"/>
      <c r="G520" s="58"/>
      <c r="H520" s="58"/>
      <c r="I520" s="58"/>
      <c r="J520" s="58"/>
      <c r="K520" s="60"/>
    </row>
    <row r="521" spans="1:11" s="52" customFormat="1" ht="12" x14ac:dyDescent="0.2">
      <c r="A521" s="57"/>
      <c r="B521" s="58"/>
      <c r="C521" s="58"/>
      <c r="D521" s="58"/>
      <c r="E521" s="59"/>
      <c r="F521" s="58"/>
      <c r="G521" s="58"/>
      <c r="H521" s="58"/>
      <c r="I521" s="58"/>
      <c r="J521" s="58"/>
      <c r="K521" s="60"/>
    </row>
    <row r="522" spans="1:11" s="52" customFormat="1" ht="12" x14ac:dyDescent="0.2">
      <c r="A522" s="57"/>
      <c r="B522" s="58"/>
      <c r="C522" s="58"/>
      <c r="D522" s="58"/>
      <c r="E522" s="59"/>
      <c r="F522" s="58"/>
      <c r="G522" s="58"/>
      <c r="H522" s="58"/>
      <c r="I522" s="58"/>
      <c r="J522" s="58"/>
      <c r="K522" s="60"/>
    </row>
    <row r="523" spans="1:11" s="52" customFormat="1" ht="12" x14ac:dyDescent="0.2">
      <c r="A523" s="57"/>
      <c r="B523" s="58"/>
      <c r="C523" s="58"/>
      <c r="D523" s="58"/>
      <c r="E523" s="59"/>
      <c r="F523" s="58"/>
      <c r="G523" s="58"/>
      <c r="H523" s="58"/>
      <c r="I523" s="58"/>
      <c r="J523" s="58"/>
      <c r="K523" s="60"/>
    </row>
    <row r="524" spans="1:11" s="52" customFormat="1" ht="12" x14ac:dyDescent="0.2">
      <c r="A524" s="57"/>
      <c r="B524" s="58"/>
      <c r="C524" s="58"/>
      <c r="D524" s="58"/>
      <c r="E524" s="59"/>
      <c r="F524" s="58"/>
      <c r="G524" s="58"/>
      <c r="H524" s="58"/>
      <c r="I524" s="58"/>
      <c r="J524" s="58"/>
      <c r="K524" s="60"/>
    </row>
    <row r="525" spans="1:11" s="52" customFormat="1" ht="12" x14ac:dyDescent="0.2">
      <c r="A525" s="57"/>
      <c r="B525" s="58"/>
      <c r="C525" s="58"/>
      <c r="D525" s="58"/>
      <c r="E525" s="59"/>
      <c r="F525" s="58"/>
      <c r="G525" s="58"/>
      <c r="H525" s="58"/>
      <c r="I525" s="58"/>
      <c r="J525" s="58"/>
      <c r="K525" s="60"/>
    </row>
    <row r="526" spans="1:11" s="52" customFormat="1" ht="12" x14ac:dyDescent="0.2">
      <c r="A526" s="57"/>
      <c r="B526" s="58"/>
      <c r="C526" s="58"/>
      <c r="D526" s="58"/>
      <c r="E526" s="59"/>
      <c r="F526" s="58"/>
      <c r="G526" s="58"/>
      <c r="H526" s="58"/>
      <c r="I526" s="58"/>
      <c r="J526" s="58"/>
      <c r="K526" s="60"/>
    </row>
    <row r="527" spans="1:11" s="52" customFormat="1" ht="12" x14ac:dyDescent="0.2">
      <c r="A527" s="57"/>
      <c r="B527" s="58"/>
      <c r="C527" s="58"/>
      <c r="D527" s="58"/>
      <c r="E527" s="59"/>
      <c r="F527" s="58"/>
      <c r="G527" s="58"/>
      <c r="H527" s="58"/>
      <c r="I527" s="58"/>
      <c r="J527" s="58"/>
      <c r="K527" s="60"/>
    </row>
    <row r="528" spans="1:11" s="52" customFormat="1" ht="12" x14ac:dyDescent="0.2">
      <c r="A528" s="57"/>
      <c r="B528" s="58"/>
      <c r="C528" s="58"/>
      <c r="D528" s="58"/>
      <c r="E528" s="59"/>
      <c r="F528" s="58"/>
      <c r="G528" s="58"/>
      <c r="H528" s="58"/>
      <c r="I528" s="58"/>
      <c r="J528" s="58"/>
      <c r="K528" s="60"/>
    </row>
    <row r="529" spans="1:11" s="52" customFormat="1" ht="12" x14ac:dyDescent="0.2">
      <c r="A529" s="57"/>
      <c r="B529" s="58"/>
      <c r="C529" s="58"/>
      <c r="D529" s="58"/>
      <c r="E529" s="59"/>
      <c r="F529" s="58"/>
      <c r="G529" s="58"/>
      <c r="H529" s="58"/>
      <c r="I529" s="58"/>
      <c r="J529" s="58"/>
      <c r="K529" s="60"/>
    </row>
    <row r="530" spans="1:11" s="52" customFormat="1" ht="12" x14ac:dyDescent="0.2">
      <c r="A530" s="57"/>
      <c r="B530" s="58"/>
      <c r="C530" s="58"/>
      <c r="D530" s="58"/>
      <c r="E530" s="59"/>
      <c r="F530" s="58"/>
      <c r="G530" s="58"/>
      <c r="H530" s="58"/>
      <c r="I530" s="58"/>
      <c r="J530" s="58"/>
      <c r="K530" s="60"/>
    </row>
    <row r="531" spans="1:11" s="52" customFormat="1" ht="12" x14ac:dyDescent="0.2">
      <c r="A531" s="57"/>
      <c r="B531" s="58"/>
      <c r="C531" s="58"/>
      <c r="D531" s="58"/>
      <c r="E531" s="59"/>
      <c r="F531" s="58"/>
      <c r="G531" s="58"/>
      <c r="H531" s="58"/>
      <c r="I531" s="58"/>
      <c r="J531" s="58"/>
      <c r="K531" s="60"/>
    </row>
    <row r="532" spans="1:11" s="52" customFormat="1" ht="12" x14ac:dyDescent="0.2">
      <c r="A532" s="57"/>
      <c r="B532" s="58"/>
      <c r="C532" s="58"/>
      <c r="D532" s="58"/>
      <c r="E532" s="59"/>
      <c r="F532" s="58"/>
      <c r="G532" s="58"/>
      <c r="H532" s="58"/>
      <c r="I532" s="58"/>
      <c r="J532" s="58"/>
      <c r="K532" s="60"/>
    </row>
    <row r="533" spans="1:11" s="52" customFormat="1" ht="12" x14ac:dyDescent="0.2">
      <c r="A533" s="57"/>
      <c r="B533" s="58"/>
      <c r="C533" s="58"/>
      <c r="D533" s="58"/>
      <c r="E533" s="59"/>
      <c r="F533" s="58"/>
      <c r="G533" s="58"/>
      <c r="H533" s="58"/>
      <c r="I533" s="58"/>
      <c r="J533" s="58"/>
      <c r="K533" s="60"/>
    </row>
    <row r="534" spans="1:11" s="52" customFormat="1" ht="12" x14ac:dyDescent="0.2">
      <c r="A534" s="57"/>
      <c r="B534" s="58"/>
      <c r="C534" s="58"/>
      <c r="D534" s="58"/>
      <c r="E534" s="59"/>
      <c r="F534" s="58"/>
      <c r="G534" s="58"/>
      <c r="H534" s="58"/>
      <c r="I534" s="58"/>
      <c r="J534" s="58"/>
      <c r="K534" s="60"/>
    </row>
    <row r="535" spans="1:11" s="52" customFormat="1" ht="12" x14ac:dyDescent="0.2">
      <c r="A535" s="57"/>
      <c r="B535" s="58"/>
      <c r="C535" s="58"/>
      <c r="D535" s="58"/>
      <c r="E535" s="59"/>
      <c r="F535" s="58"/>
      <c r="G535" s="58"/>
      <c r="H535" s="58"/>
      <c r="I535" s="58"/>
      <c r="J535" s="58"/>
      <c r="K535" s="60"/>
    </row>
    <row r="536" spans="1:11" s="52" customFormat="1" ht="12" x14ac:dyDescent="0.2">
      <c r="A536" s="57"/>
      <c r="B536" s="58"/>
      <c r="C536" s="58"/>
      <c r="D536" s="58"/>
      <c r="E536" s="59"/>
      <c r="F536" s="58"/>
      <c r="G536" s="58"/>
      <c r="H536" s="58"/>
      <c r="I536" s="58"/>
      <c r="J536" s="58"/>
      <c r="K536" s="60"/>
    </row>
    <row r="537" spans="1:11" s="52" customFormat="1" ht="12" x14ac:dyDescent="0.2">
      <c r="A537" s="57"/>
      <c r="B537" s="58"/>
      <c r="C537" s="58"/>
      <c r="D537" s="58"/>
      <c r="E537" s="59"/>
      <c r="F537" s="58"/>
      <c r="G537" s="58"/>
      <c r="H537" s="58"/>
      <c r="I537" s="58"/>
      <c r="J537" s="58"/>
      <c r="K537" s="60"/>
    </row>
    <row r="538" spans="1:11" s="52" customFormat="1" ht="12" x14ac:dyDescent="0.2">
      <c r="A538" s="57"/>
      <c r="B538" s="58"/>
      <c r="C538" s="58"/>
      <c r="D538" s="58"/>
      <c r="E538" s="59"/>
      <c r="F538" s="58"/>
      <c r="G538" s="58"/>
      <c r="H538" s="58"/>
      <c r="I538" s="58"/>
      <c r="J538" s="58"/>
      <c r="K538" s="60"/>
    </row>
    <row r="539" spans="1:11" s="52" customFormat="1" ht="12" x14ac:dyDescent="0.2">
      <c r="A539" s="57"/>
      <c r="B539" s="58"/>
      <c r="C539" s="58"/>
      <c r="D539" s="58"/>
      <c r="E539" s="59"/>
      <c r="F539" s="58"/>
      <c r="G539" s="58"/>
      <c r="H539" s="58"/>
      <c r="I539" s="58"/>
      <c r="J539" s="58"/>
      <c r="K539" s="60"/>
    </row>
    <row r="540" spans="1:11" s="52" customFormat="1" ht="12" x14ac:dyDescent="0.2">
      <c r="A540" s="57"/>
      <c r="B540" s="58"/>
      <c r="C540" s="58"/>
      <c r="D540" s="58"/>
      <c r="E540" s="59"/>
      <c r="F540" s="58"/>
      <c r="G540" s="58"/>
      <c r="H540" s="58"/>
      <c r="I540" s="58"/>
      <c r="J540" s="58"/>
      <c r="K540" s="60"/>
    </row>
    <row r="541" spans="1:11" s="52" customFormat="1" ht="12" x14ac:dyDescent="0.2">
      <c r="A541" s="57"/>
      <c r="B541" s="58"/>
      <c r="C541" s="58"/>
      <c r="D541" s="58"/>
      <c r="E541" s="59"/>
      <c r="F541" s="58"/>
      <c r="G541" s="58"/>
      <c r="H541" s="58"/>
      <c r="I541" s="58"/>
      <c r="J541" s="58"/>
      <c r="K541" s="60"/>
    </row>
    <row r="542" spans="1:11" s="52" customFormat="1" ht="12" x14ac:dyDescent="0.2">
      <c r="A542" s="57"/>
      <c r="B542" s="58"/>
      <c r="C542" s="58"/>
      <c r="D542" s="58"/>
      <c r="E542" s="59"/>
      <c r="F542" s="58"/>
      <c r="G542" s="58"/>
      <c r="H542" s="58"/>
      <c r="I542" s="58"/>
      <c r="J542" s="58"/>
      <c r="K542" s="60"/>
    </row>
    <row r="543" spans="1:11" s="52" customFormat="1" ht="12" x14ac:dyDescent="0.2">
      <c r="A543" s="57"/>
      <c r="B543" s="58"/>
      <c r="C543" s="58"/>
      <c r="D543" s="58"/>
      <c r="E543" s="59"/>
      <c r="F543" s="58"/>
      <c r="G543" s="58"/>
      <c r="H543" s="58"/>
      <c r="I543" s="58"/>
      <c r="J543" s="58"/>
      <c r="K543" s="60"/>
    </row>
    <row r="544" spans="1:11" s="52" customFormat="1" ht="12" x14ac:dyDescent="0.2">
      <c r="A544" s="57"/>
      <c r="B544" s="58"/>
      <c r="C544" s="58"/>
      <c r="D544" s="58"/>
      <c r="E544" s="59"/>
      <c r="F544" s="58"/>
      <c r="G544" s="58"/>
      <c r="H544" s="58"/>
      <c r="I544" s="58"/>
      <c r="J544" s="58"/>
      <c r="K544" s="60"/>
    </row>
    <row r="545" spans="1:11" s="52" customFormat="1" ht="12" x14ac:dyDescent="0.2">
      <c r="A545" s="57"/>
      <c r="B545" s="58"/>
      <c r="C545" s="58"/>
      <c r="D545" s="58"/>
      <c r="E545" s="59"/>
      <c r="F545" s="58"/>
      <c r="G545" s="58"/>
      <c r="H545" s="58"/>
      <c r="I545" s="58"/>
      <c r="J545" s="58"/>
      <c r="K545" s="60"/>
    </row>
    <row r="546" spans="1:11" s="52" customFormat="1" ht="12" x14ac:dyDescent="0.2">
      <c r="A546" s="57"/>
      <c r="B546" s="58"/>
      <c r="C546" s="58"/>
      <c r="D546" s="58"/>
      <c r="E546" s="59"/>
      <c r="F546" s="58"/>
      <c r="G546" s="58"/>
      <c r="H546" s="58"/>
      <c r="I546" s="58"/>
      <c r="J546" s="58"/>
      <c r="K546" s="60"/>
    </row>
    <row r="547" spans="1:11" s="52" customFormat="1" ht="12" x14ac:dyDescent="0.2">
      <c r="A547" s="57"/>
      <c r="B547" s="58"/>
      <c r="C547" s="58"/>
      <c r="D547" s="58"/>
      <c r="E547" s="59"/>
      <c r="F547" s="58"/>
      <c r="G547" s="58"/>
      <c r="H547" s="58"/>
      <c r="I547" s="58"/>
      <c r="J547" s="58"/>
      <c r="K547" s="60"/>
    </row>
    <row r="548" spans="1:11" s="52" customFormat="1" ht="12" x14ac:dyDescent="0.2">
      <c r="A548" s="57"/>
      <c r="B548" s="58"/>
      <c r="C548" s="58"/>
      <c r="D548" s="58"/>
      <c r="E548" s="59"/>
      <c r="F548" s="58"/>
      <c r="G548" s="58"/>
      <c r="H548" s="58"/>
      <c r="I548" s="58"/>
      <c r="J548" s="58"/>
      <c r="K548" s="60"/>
    </row>
    <row r="549" spans="1:11" s="52" customFormat="1" ht="12" x14ac:dyDescent="0.2">
      <c r="A549" s="57"/>
      <c r="B549" s="58"/>
      <c r="C549" s="58"/>
      <c r="D549" s="58"/>
      <c r="E549" s="59"/>
      <c r="F549" s="58"/>
      <c r="G549" s="58"/>
      <c r="H549" s="58"/>
      <c r="I549" s="58"/>
      <c r="J549" s="58"/>
      <c r="K549" s="60"/>
    </row>
    <row r="550" spans="1:11" s="52" customFormat="1" ht="12" x14ac:dyDescent="0.2">
      <c r="A550" s="57"/>
      <c r="B550" s="58"/>
      <c r="C550" s="58"/>
      <c r="D550" s="58"/>
      <c r="E550" s="59"/>
      <c r="F550" s="58"/>
      <c r="G550" s="58"/>
      <c r="H550" s="58"/>
      <c r="I550" s="58"/>
      <c r="J550" s="58"/>
      <c r="K550" s="60"/>
    </row>
    <row r="551" spans="1:11" s="52" customFormat="1" ht="12" x14ac:dyDescent="0.2">
      <c r="A551" s="57"/>
      <c r="B551" s="58"/>
      <c r="C551" s="58"/>
      <c r="D551" s="58"/>
      <c r="E551" s="59"/>
      <c r="F551" s="58"/>
      <c r="G551" s="58"/>
      <c r="H551" s="58"/>
      <c r="I551" s="58"/>
      <c r="J551" s="58"/>
      <c r="K551" s="60"/>
    </row>
    <row r="552" spans="1:11" s="52" customFormat="1" ht="12" x14ac:dyDescent="0.2">
      <c r="A552" s="57"/>
      <c r="B552" s="58"/>
      <c r="C552" s="58"/>
      <c r="D552" s="58"/>
      <c r="E552" s="59"/>
      <c r="F552" s="58"/>
      <c r="G552" s="58"/>
      <c r="H552" s="58"/>
      <c r="I552" s="58"/>
      <c r="J552" s="58"/>
      <c r="K552" s="60"/>
    </row>
    <row r="553" spans="1:11" s="52" customFormat="1" ht="12" x14ac:dyDescent="0.2">
      <c r="A553" s="57"/>
      <c r="B553" s="58"/>
      <c r="C553" s="58"/>
      <c r="D553" s="58"/>
      <c r="E553" s="59"/>
      <c r="F553" s="58"/>
      <c r="G553" s="58"/>
      <c r="H553" s="58"/>
      <c r="I553" s="58"/>
      <c r="J553" s="58"/>
      <c r="K553" s="60"/>
    </row>
    <row r="554" spans="1:11" s="52" customFormat="1" ht="12" x14ac:dyDescent="0.2">
      <c r="A554" s="57"/>
      <c r="B554" s="58"/>
      <c r="C554" s="58"/>
      <c r="D554" s="58"/>
      <c r="E554" s="59"/>
      <c r="F554" s="58"/>
      <c r="G554" s="58"/>
      <c r="H554" s="58"/>
      <c r="I554" s="58"/>
      <c r="J554" s="58"/>
      <c r="K554" s="60"/>
    </row>
    <row r="555" spans="1:11" s="52" customFormat="1" ht="12" x14ac:dyDescent="0.2">
      <c r="A555" s="57"/>
      <c r="B555" s="58"/>
      <c r="C555" s="58"/>
      <c r="D555" s="58"/>
      <c r="E555" s="59"/>
      <c r="F555" s="58"/>
      <c r="G555" s="58"/>
      <c r="H555" s="58"/>
      <c r="I555" s="58"/>
      <c r="J555" s="58"/>
      <c r="K555" s="60"/>
    </row>
    <row r="556" spans="1:11" s="52" customFormat="1" ht="12" x14ac:dyDescent="0.2">
      <c r="A556" s="57"/>
      <c r="B556" s="58"/>
      <c r="C556" s="58"/>
      <c r="D556" s="58"/>
      <c r="E556" s="59"/>
      <c r="F556" s="58"/>
      <c r="G556" s="58"/>
      <c r="H556" s="58"/>
      <c r="I556" s="58"/>
      <c r="J556" s="58"/>
      <c r="K556" s="60"/>
    </row>
    <row r="557" spans="1:11" s="52" customFormat="1" ht="12" x14ac:dyDescent="0.2">
      <c r="A557" s="57"/>
      <c r="B557" s="58"/>
      <c r="C557" s="58"/>
      <c r="D557" s="58"/>
      <c r="E557" s="59"/>
      <c r="F557" s="58"/>
      <c r="G557" s="58"/>
      <c r="H557" s="58"/>
      <c r="I557" s="58"/>
      <c r="J557" s="58"/>
      <c r="K557" s="60"/>
    </row>
    <row r="558" spans="1:11" s="52" customFormat="1" ht="12" x14ac:dyDescent="0.2">
      <c r="A558" s="57"/>
      <c r="B558" s="58"/>
      <c r="C558" s="58"/>
      <c r="D558" s="58"/>
      <c r="E558" s="59"/>
      <c r="F558" s="58"/>
      <c r="G558" s="58"/>
      <c r="H558" s="58"/>
      <c r="I558" s="58"/>
      <c r="J558" s="58"/>
      <c r="K558" s="60"/>
    </row>
    <row r="559" spans="1:11" s="52" customFormat="1" ht="12" x14ac:dyDescent="0.2">
      <c r="A559" s="57"/>
      <c r="B559" s="58"/>
      <c r="C559" s="58"/>
      <c r="D559" s="58"/>
      <c r="E559" s="59"/>
      <c r="F559" s="58"/>
      <c r="G559" s="58"/>
      <c r="H559" s="58"/>
      <c r="I559" s="58"/>
      <c r="J559" s="58"/>
      <c r="K559" s="60"/>
    </row>
    <row r="560" spans="1:11" s="52" customFormat="1" ht="12" x14ac:dyDescent="0.2">
      <c r="A560" s="57"/>
      <c r="B560" s="58"/>
      <c r="C560" s="58"/>
      <c r="D560" s="58"/>
      <c r="E560" s="59"/>
      <c r="F560" s="58"/>
      <c r="G560" s="58"/>
      <c r="H560" s="58"/>
      <c r="I560" s="58"/>
      <c r="J560" s="58"/>
      <c r="K560" s="60"/>
    </row>
    <row r="561" spans="1:11" s="52" customFormat="1" ht="12" x14ac:dyDescent="0.2">
      <c r="A561" s="57"/>
      <c r="B561" s="58"/>
      <c r="C561" s="58"/>
      <c r="D561" s="58"/>
      <c r="E561" s="59"/>
      <c r="F561" s="58"/>
      <c r="G561" s="58"/>
      <c r="H561" s="58"/>
      <c r="I561" s="58"/>
      <c r="J561" s="58"/>
      <c r="K561" s="60"/>
    </row>
    <row r="562" spans="1:11" s="52" customFormat="1" ht="12" x14ac:dyDescent="0.2">
      <c r="A562" s="57"/>
      <c r="B562" s="58"/>
      <c r="C562" s="58"/>
      <c r="D562" s="58"/>
      <c r="E562" s="59"/>
      <c r="F562" s="58"/>
      <c r="G562" s="58"/>
      <c r="H562" s="58"/>
      <c r="I562" s="58"/>
      <c r="J562" s="58"/>
      <c r="K562" s="60"/>
    </row>
    <row r="563" spans="1:11" s="52" customFormat="1" ht="12" x14ac:dyDescent="0.2">
      <c r="A563" s="57"/>
      <c r="B563" s="58"/>
      <c r="C563" s="58"/>
      <c r="D563" s="58"/>
      <c r="E563" s="59"/>
      <c r="F563" s="58"/>
      <c r="G563" s="58"/>
      <c r="H563" s="58"/>
      <c r="I563" s="58"/>
      <c r="J563" s="58"/>
      <c r="K563" s="60"/>
    </row>
    <row r="564" spans="1:11" s="52" customFormat="1" ht="12" x14ac:dyDescent="0.2">
      <c r="A564" s="57"/>
      <c r="B564" s="58"/>
      <c r="C564" s="58"/>
      <c r="D564" s="58"/>
      <c r="E564" s="59"/>
      <c r="F564" s="58"/>
      <c r="G564" s="58"/>
      <c r="H564" s="58"/>
      <c r="I564" s="58"/>
      <c r="J564" s="58"/>
      <c r="K564" s="60"/>
    </row>
    <row r="565" spans="1:11" s="52" customFormat="1" ht="12" x14ac:dyDescent="0.2">
      <c r="A565" s="57"/>
      <c r="B565" s="58"/>
      <c r="C565" s="58"/>
      <c r="D565" s="58"/>
      <c r="E565" s="59"/>
      <c r="F565" s="58"/>
      <c r="G565" s="58"/>
      <c r="H565" s="58"/>
      <c r="I565" s="58"/>
      <c r="J565" s="58"/>
      <c r="K565" s="60"/>
    </row>
    <row r="566" spans="1:11" s="52" customFormat="1" ht="12" x14ac:dyDescent="0.2">
      <c r="A566" s="57"/>
      <c r="B566" s="58"/>
      <c r="C566" s="58"/>
      <c r="D566" s="58"/>
      <c r="E566" s="59"/>
      <c r="F566" s="58"/>
      <c r="G566" s="58"/>
      <c r="H566" s="58"/>
      <c r="I566" s="58"/>
      <c r="J566" s="58"/>
      <c r="K566" s="60"/>
    </row>
    <row r="567" spans="1:11" s="52" customFormat="1" ht="12" x14ac:dyDescent="0.2">
      <c r="A567" s="57"/>
      <c r="B567" s="58"/>
      <c r="C567" s="58"/>
      <c r="D567" s="58"/>
      <c r="E567" s="59"/>
      <c r="F567" s="58"/>
      <c r="G567" s="58"/>
      <c r="H567" s="58"/>
      <c r="I567" s="58"/>
      <c r="J567" s="58"/>
      <c r="K567" s="60"/>
    </row>
    <row r="568" spans="1:11" s="52" customFormat="1" ht="12" x14ac:dyDescent="0.2">
      <c r="A568" s="57"/>
      <c r="B568" s="58"/>
      <c r="C568" s="58"/>
      <c r="D568" s="58"/>
      <c r="E568" s="59"/>
      <c r="F568" s="58"/>
      <c r="G568" s="58"/>
      <c r="H568" s="58"/>
      <c r="I568" s="58"/>
      <c r="J568" s="58"/>
      <c r="K568" s="60"/>
    </row>
    <row r="569" spans="1:11" s="52" customFormat="1" ht="12" x14ac:dyDescent="0.2">
      <c r="A569" s="57"/>
      <c r="B569" s="58"/>
      <c r="C569" s="58"/>
      <c r="D569" s="58"/>
      <c r="E569" s="59"/>
      <c r="F569" s="58"/>
      <c r="G569" s="58"/>
      <c r="H569" s="58"/>
      <c r="I569" s="58"/>
      <c r="J569" s="58"/>
      <c r="K569" s="60"/>
    </row>
    <row r="570" spans="1:11" s="52" customFormat="1" ht="12" x14ac:dyDescent="0.2">
      <c r="A570" s="57"/>
      <c r="B570" s="58"/>
      <c r="C570" s="58"/>
      <c r="D570" s="58"/>
      <c r="E570" s="59"/>
      <c r="F570" s="58"/>
      <c r="G570" s="58"/>
      <c r="H570" s="58"/>
      <c r="I570" s="58"/>
      <c r="J570" s="58"/>
      <c r="K570" s="60"/>
    </row>
    <row r="571" spans="1:11" s="52" customFormat="1" ht="12" x14ac:dyDescent="0.2">
      <c r="A571" s="57"/>
      <c r="B571" s="58"/>
      <c r="C571" s="58"/>
      <c r="D571" s="58"/>
      <c r="E571" s="59"/>
      <c r="F571" s="58"/>
      <c r="G571" s="58"/>
      <c r="H571" s="58"/>
      <c r="I571" s="58"/>
      <c r="J571" s="58"/>
      <c r="K571" s="60"/>
    </row>
    <row r="572" spans="1:11" s="52" customFormat="1" ht="12" x14ac:dyDescent="0.2">
      <c r="A572" s="57"/>
      <c r="B572" s="58"/>
      <c r="C572" s="58"/>
      <c r="D572" s="58"/>
      <c r="E572" s="59"/>
      <c r="F572" s="58"/>
      <c r="G572" s="58"/>
      <c r="H572" s="58"/>
      <c r="I572" s="58"/>
      <c r="J572" s="58"/>
      <c r="K572" s="60"/>
    </row>
    <row r="573" spans="1:11" s="52" customFormat="1" ht="12" x14ac:dyDescent="0.2">
      <c r="A573" s="57"/>
      <c r="B573" s="58"/>
      <c r="C573" s="58"/>
      <c r="D573" s="58"/>
      <c r="E573" s="59"/>
      <c r="F573" s="58"/>
      <c r="G573" s="58"/>
      <c r="H573" s="58"/>
      <c r="I573" s="58"/>
      <c r="J573" s="58"/>
      <c r="K573" s="60"/>
    </row>
    <row r="574" spans="1:11" s="52" customFormat="1" ht="12" x14ac:dyDescent="0.2">
      <c r="A574" s="57"/>
      <c r="B574" s="58"/>
      <c r="C574" s="58"/>
      <c r="D574" s="58"/>
      <c r="E574" s="59"/>
      <c r="F574" s="58"/>
      <c r="G574" s="58"/>
      <c r="H574" s="58"/>
      <c r="I574" s="58"/>
      <c r="J574" s="58"/>
      <c r="K574" s="60"/>
    </row>
    <row r="575" spans="1:11" s="52" customFormat="1" ht="12" x14ac:dyDescent="0.2">
      <c r="A575" s="57"/>
      <c r="B575" s="58"/>
      <c r="C575" s="58"/>
      <c r="D575" s="58"/>
      <c r="E575" s="59"/>
      <c r="F575" s="58"/>
      <c r="G575" s="58"/>
      <c r="H575" s="58"/>
      <c r="I575" s="58"/>
      <c r="J575" s="58"/>
      <c r="K575" s="60"/>
    </row>
    <row r="576" spans="1:11" s="52" customFormat="1" ht="12" x14ac:dyDescent="0.2">
      <c r="A576" s="57"/>
      <c r="B576" s="58"/>
      <c r="C576" s="58"/>
      <c r="D576" s="58"/>
      <c r="E576" s="59"/>
      <c r="F576" s="58"/>
      <c r="G576" s="58"/>
      <c r="H576" s="58"/>
      <c r="I576" s="58"/>
      <c r="J576" s="58"/>
      <c r="K576" s="60"/>
    </row>
    <row r="577" spans="1:11" s="52" customFormat="1" ht="12" x14ac:dyDescent="0.2">
      <c r="A577" s="57"/>
      <c r="B577" s="58"/>
      <c r="C577" s="58"/>
      <c r="D577" s="58"/>
      <c r="E577" s="59"/>
      <c r="F577" s="58"/>
      <c r="G577" s="58"/>
      <c r="H577" s="58"/>
      <c r="I577" s="58"/>
      <c r="J577" s="58"/>
      <c r="K577" s="60"/>
    </row>
    <row r="578" spans="1:11" s="52" customFormat="1" ht="12" x14ac:dyDescent="0.2">
      <c r="A578" s="57"/>
      <c r="B578" s="58"/>
      <c r="C578" s="58"/>
      <c r="D578" s="58"/>
      <c r="E578" s="59"/>
      <c r="F578" s="58"/>
      <c r="G578" s="58"/>
      <c r="H578" s="58"/>
      <c r="I578" s="58"/>
      <c r="J578" s="58"/>
      <c r="K578" s="60"/>
    </row>
    <row r="579" spans="1:11" s="52" customFormat="1" ht="12" x14ac:dyDescent="0.2">
      <c r="A579" s="57"/>
      <c r="B579" s="58"/>
      <c r="C579" s="58"/>
      <c r="D579" s="58"/>
      <c r="E579" s="59"/>
      <c r="F579" s="58"/>
      <c r="G579" s="58"/>
      <c r="H579" s="58"/>
      <c r="I579" s="58"/>
      <c r="J579" s="58"/>
      <c r="K579" s="60"/>
    </row>
    <row r="580" spans="1:11" s="52" customFormat="1" ht="12" x14ac:dyDescent="0.2">
      <c r="A580" s="57"/>
      <c r="B580" s="58"/>
      <c r="C580" s="58"/>
      <c r="D580" s="58"/>
      <c r="E580" s="59"/>
      <c r="F580" s="58"/>
      <c r="G580" s="58"/>
      <c r="H580" s="58"/>
      <c r="I580" s="58"/>
      <c r="J580" s="58"/>
      <c r="K580" s="60"/>
    </row>
    <row r="581" spans="1:11" s="52" customFormat="1" ht="12" x14ac:dyDescent="0.2">
      <c r="A581" s="57"/>
      <c r="B581" s="58"/>
      <c r="C581" s="58"/>
      <c r="D581" s="58"/>
      <c r="E581" s="59"/>
      <c r="F581" s="58"/>
      <c r="G581" s="58"/>
      <c r="H581" s="58"/>
      <c r="I581" s="58"/>
      <c r="J581" s="58"/>
      <c r="K581" s="60"/>
    </row>
    <row r="582" spans="1:11" s="52" customFormat="1" ht="12" x14ac:dyDescent="0.2">
      <c r="A582" s="57"/>
      <c r="B582" s="58"/>
      <c r="C582" s="58"/>
      <c r="D582" s="58"/>
      <c r="E582" s="59"/>
      <c r="F582" s="58"/>
      <c r="G582" s="58"/>
      <c r="H582" s="58"/>
      <c r="I582" s="58"/>
      <c r="J582" s="58"/>
      <c r="K582" s="60"/>
    </row>
    <row r="583" spans="1:11" s="52" customFormat="1" ht="12" x14ac:dyDescent="0.2">
      <c r="A583" s="57"/>
      <c r="B583" s="58"/>
      <c r="C583" s="58"/>
      <c r="D583" s="58"/>
      <c r="E583" s="59"/>
      <c r="F583" s="58"/>
      <c r="G583" s="58"/>
      <c r="H583" s="58"/>
      <c r="I583" s="58"/>
      <c r="J583" s="58"/>
      <c r="K583" s="60"/>
    </row>
    <row r="584" spans="1:11" s="52" customFormat="1" ht="12" x14ac:dyDescent="0.2">
      <c r="A584" s="57"/>
      <c r="B584" s="58"/>
      <c r="C584" s="58"/>
      <c r="D584" s="58"/>
      <c r="E584" s="59"/>
      <c r="F584" s="58"/>
      <c r="G584" s="58"/>
      <c r="H584" s="58"/>
      <c r="I584" s="58"/>
      <c r="J584" s="58"/>
      <c r="K584" s="60"/>
    </row>
    <row r="585" spans="1:11" s="52" customFormat="1" ht="12" x14ac:dyDescent="0.2">
      <c r="A585" s="57"/>
      <c r="B585" s="58"/>
      <c r="C585" s="58"/>
      <c r="D585" s="58"/>
      <c r="E585" s="59"/>
      <c r="F585" s="58"/>
      <c r="G585" s="58"/>
      <c r="H585" s="58"/>
      <c r="I585" s="58"/>
      <c r="J585" s="58"/>
      <c r="K585" s="60"/>
    </row>
    <row r="586" spans="1:11" s="52" customFormat="1" ht="12" x14ac:dyDescent="0.2">
      <c r="A586" s="57"/>
      <c r="B586" s="58"/>
      <c r="C586" s="58"/>
      <c r="D586" s="58"/>
      <c r="E586" s="59"/>
      <c r="F586" s="58"/>
      <c r="G586" s="58"/>
      <c r="H586" s="58"/>
      <c r="I586" s="58"/>
      <c r="J586" s="58"/>
      <c r="K586" s="60"/>
    </row>
    <row r="587" spans="1:11" s="52" customFormat="1" ht="12" x14ac:dyDescent="0.2">
      <c r="A587" s="57"/>
      <c r="B587" s="58"/>
      <c r="C587" s="58"/>
      <c r="D587" s="58"/>
      <c r="E587" s="59"/>
      <c r="F587" s="58"/>
      <c r="G587" s="58"/>
      <c r="H587" s="58"/>
      <c r="I587" s="58"/>
      <c r="J587" s="58"/>
      <c r="K587" s="60"/>
    </row>
    <row r="588" spans="1:11" s="52" customFormat="1" ht="12" x14ac:dyDescent="0.2">
      <c r="A588" s="57"/>
      <c r="B588" s="58"/>
      <c r="C588" s="58"/>
      <c r="D588" s="58"/>
      <c r="E588" s="59"/>
      <c r="F588" s="58"/>
      <c r="G588" s="58"/>
      <c r="H588" s="58"/>
      <c r="I588" s="58"/>
      <c r="J588" s="58"/>
      <c r="K588" s="60"/>
    </row>
    <row r="589" spans="1:11" s="52" customFormat="1" ht="12" x14ac:dyDescent="0.2">
      <c r="A589" s="57"/>
      <c r="B589" s="58"/>
      <c r="C589" s="58"/>
      <c r="D589" s="58"/>
      <c r="E589" s="59"/>
      <c r="F589" s="58"/>
      <c r="G589" s="58"/>
      <c r="H589" s="58"/>
      <c r="I589" s="58"/>
      <c r="J589" s="58"/>
      <c r="K589" s="60"/>
    </row>
    <row r="590" spans="1:11" s="52" customFormat="1" ht="12" x14ac:dyDescent="0.2">
      <c r="A590" s="57"/>
      <c r="B590" s="58"/>
      <c r="C590" s="58"/>
      <c r="D590" s="58"/>
      <c r="E590" s="59"/>
      <c r="F590" s="58"/>
      <c r="G590" s="58"/>
      <c r="H590" s="58"/>
      <c r="I590" s="58"/>
      <c r="J590" s="58"/>
      <c r="K590" s="60"/>
    </row>
    <row r="591" spans="1:11" s="52" customFormat="1" ht="12" x14ac:dyDescent="0.2">
      <c r="A591" s="57"/>
      <c r="B591" s="58"/>
      <c r="C591" s="58"/>
      <c r="D591" s="58"/>
      <c r="E591" s="59"/>
      <c r="F591" s="58"/>
      <c r="G591" s="58"/>
      <c r="H591" s="58"/>
      <c r="I591" s="58"/>
      <c r="J591" s="58"/>
      <c r="K591" s="60"/>
    </row>
    <row r="592" spans="1:11" s="52" customFormat="1" ht="12" x14ac:dyDescent="0.2">
      <c r="A592" s="57"/>
      <c r="B592" s="58"/>
      <c r="C592" s="58"/>
      <c r="D592" s="58"/>
      <c r="E592" s="59"/>
      <c r="F592" s="58"/>
      <c r="G592" s="58"/>
      <c r="H592" s="58"/>
      <c r="I592" s="58"/>
      <c r="J592" s="58"/>
      <c r="K592" s="60"/>
    </row>
    <row r="593" spans="1:11" s="52" customFormat="1" ht="12" x14ac:dyDescent="0.2">
      <c r="A593" s="57"/>
      <c r="B593" s="58"/>
      <c r="C593" s="58"/>
      <c r="D593" s="58"/>
      <c r="E593" s="59"/>
      <c r="F593" s="58"/>
      <c r="G593" s="58"/>
      <c r="H593" s="58"/>
      <c r="I593" s="58"/>
      <c r="J593" s="58"/>
      <c r="K593" s="60"/>
    </row>
    <row r="594" spans="1:11" s="52" customFormat="1" ht="12" x14ac:dyDescent="0.2">
      <c r="A594" s="57"/>
      <c r="B594" s="58"/>
      <c r="C594" s="58"/>
      <c r="D594" s="58"/>
      <c r="E594" s="59"/>
      <c r="F594" s="58"/>
      <c r="G594" s="58"/>
      <c r="H594" s="58"/>
      <c r="I594" s="58"/>
      <c r="J594" s="58"/>
      <c r="K594" s="60"/>
    </row>
    <row r="595" spans="1:11" s="52" customFormat="1" ht="12" x14ac:dyDescent="0.2">
      <c r="A595" s="57"/>
      <c r="B595" s="58"/>
      <c r="C595" s="58"/>
      <c r="D595" s="58"/>
      <c r="E595" s="59"/>
      <c r="F595" s="58"/>
      <c r="G595" s="58"/>
      <c r="H595" s="58"/>
      <c r="I595" s="58"/>
      <c r="J595" s="58"/>
      <c r="K595" s="60"/>
    </row>
    <row r="596" spans="1:11" s="52" customFormat="1" ht="12" x14ac:dyDescent="0.2">
      <c r="A596" s="57"/>
      <c r="B596" s="58"/>
      <c r="C596" s="58"/>
      <c r="D596" s="58"/>
      <c r="E596" s="59"/>
      <c r="F596" s="58"/>
      <c r="G596" s="58"/>
      <c r="H596" s="58"/>
      <c r="I596" s="58"/>
      <c r="J596" s="58"/>
      <c r="K596" s="60"/>
    </row>
    <row r="597" spans="1:11" s="52" customFormat="1" ht="12" x14ac:dyDescent="0.2">
      <c r="A597" s="57"/>
      <c r="B597" s="58"/>
      <c r="C597" s="58"/>
      <c r="D597" s="58"/>
      <c r="E597" s="59"/>
      <c r="F597" s="58"/>
      <c r="G597" s="58"/>
      <c r="H597" s="58"/>
      <c r="I597" s="58"/>
      <c r="J597" s="58"/>
      <c r="K597" s="60"/>
    </row>
    <row r="598" spans="1:11" s="52" customFormat="1" ht="12" x14ac:dyDescent="0.2">
      <c r="A598" s="57"/>
      <c r="B598" s="58"/>
      <c r="C598" s="58"/>
      <c r="D598" s="58"/>
      <c r="E598" s="59"/>
      <c r="F598" s="58"/>
      <c r="G598" s="58"/>
      <c r="H598" s="58"/>
      <c r="I598" s="58"/>
      <c r="J598" s="58"/>
      <c r="K598" s="60"/>
    </row>
    <row r="599" spans="1:11" s="52" customFormat="1" ht="12" x14ac:dyDescent="0.2">
      <c r="A599" s="57"/>
      <c r="B599" s="58"/>
      <c r="C599" s="58"/>
      <c r="D599" s="58"/>
      <c r="E599" s="59"/>
      <c r="F599" s="58"/>
      <c r="G599" s="58"/>
      <c r="H599" s="58"/>
      <c r="I599" s="58"/>
      <c r="J599" s="58"/>
      <c r="K599" s="60"/>
    </row>
    <row r="600" spans="1:11" s="52" customFormat="1" ht="12" x14ac:dyDescent="0.2">
      <c r="A600" s="57"/>
      <c r="B600" s="58"/>
      <c r="C600" s="58"/>
      <c r="D600" s="58"/>
      <c r="E600" s="59"/>
      <c r="F600" s="58"/>
      <c r="G600" s="58"/>
      <c r="H600" s="58"/>
      <c r="I600" s="58"/>
      <c r="J600" s="58"/>
      <c r="K600" s="60"/>
    </row>
    <row r="601" spans="1:11" s="52" customFormat="1" ht="12" x14ac:dyDescent="0.2">
      <c r="A601" s="57"/>
      <c r="B601" s="58"/>
      <c r="C601" s="58"/>
      <c r="D601" s="58"/>
      <c r="E601" s="59"/>
      <c r="F601" s="58"/>
      <c r="G601" s="58"/>
      <c r="H601" s="58"/>
      <c r="I601" s="58"/>
      <c r="J601" s="58"/>
      <c r="K601" s="60"/>
    </row>
    <row r="602" spans="1:11" s="52" customFormat="1" ht="12" x14ac:dyDescent="0.2">
      <c r="A602" s="57"/>
      <c r="B602" s="58"/>
      <c r="C602" s="58"/>
      <c r="D602" s="58"/>
      <c r="E602" s="59"/>
      <c r="F602" s="58"/>
      <c r="G602" s="58"/>
      <c r="H602" s="58"/>
      <c r="I602" s="58"/>
      <c r="J602" s="58"/>
      <c r="K602" s="60"/>
    </row>
    <row r="603" spans="1:11" s="52" customFormat="1" ht="12" x14ac:dyDescent="0.2">
      <c r="A603" s="57"/>
      <c r="B603" s="58"/>
      <c r="C603" s="58"/>
      <c r="D603" s="58"/>
      <c r="E603" s="59"/>
      <c r="F603" s="58"/>
      <c r="G603" s="58"/>
      <c r="H603" s="58"/>
      <c r="I603" s="58"/>
      <c r="J603" s="58"/>
      <c r="K603" s="60"/>
    </row>
    <row r="604" spans="1:11" s="52" customFormat="1" ht="12" x14ac:dyDescent="0.2">
      <c r="A604" s="57"/>
      <c r="B604" s="58"/>
      <c r="C604" s="58"/>
      <c r="D604" s="58"/>
      <c r="E604" s="59"/>
      <c r="F604" s="58"/>
      <c r="G604" s="58"/>
      <c r="H604" s="58"/>
      <c r="I604" s="58"/>
      <c r="J604" s="58"/>
      <c r="K604" s="60"/>
    </row>
    <row r="605" spans="1:11" s="52" customFormat="1" ht="12" x14ac:dyDescent="0.2">
      <c r="A605" s="57"/>
      <c r="B605" s="58"/>
      <c r="C605" s="58"/>
      <c r="D605" s="58"/>
      <c r="E605" s="59"/>
      <c r="F605" s="58"/>
      <c r="G605" s="58"/>
      <c r="H605" s="58"/>
      <c r="I605" s="58"/>
      <c r="J605" s="58"/>
      <c r="K605" s="60"/>
    </row>
    <row r="606" spans="1:11" s="52" customFormat="1" ht="12" x14ac:dyDescent="0.2">
      <c r="A606" s="57"/>
      <c r="B606" s="58"/>
      <c r="C606" s="58"/>
      <c r="D606" s="58"/>
      <c r="E606" s="59"/>
      <c r="F606" s="58"/>
      <c r="G606" s="58"/>
      <c r="H606" s="58"/>
      <c r="I606" s="58"/>
      <c r="J606" s="58"/>
      <c r="K606" s="60"/>
    </row>
    <row r="607" spans="1:11" s="52" customFormat="1" ht="12" x14ac:dyDescent="0.2">
      <c r="A607" s="57"/>
      <c r="B607" s="58"/>
      <c r="C607" s="58"/>
      <c r="D607" s="58"/>
      <c r="E607" s="59"/>
      <c r="F607" s="58"/>
      <c r="G607" s="58"/>
      <c r="H607" s="58"/>
      <c r="I607" s="58"/>
      <c r="J607" s="58"/>
      <c r="K607" s="60"/>
    </row>
    <row r="608" spans="1:11" s="52" customFormat="1" ht="12" x14ac:dyDescent="0.2">
      <c r="A608" s="57"/>
      <c r="B608" s="58"/>
      <c r="C608" s="58"/>
      <c r="D608" s="58"/>
      <c r="E608" s="59"/>
      <c r="F608" s="58"/>
      <c r="G608" s="58"/>
      <c r="H608" s="58"/>
      <c r="I608" s="58"/>
      <c r="J608" s="58"/>
      <c r="K608" s="60"/>
    </row>
    <row r="609" spans="1:11" s="52" customFormat="1" ht="12" x14ac:dyDescent="0.2">
      <c r="A609" s="57"/>
      <c r="B609" s="58"/>
      <c r="C609" s="58"/>
      <c r="D609" s="58"/>
      <c r="E609" s="59"/>
      <c r="F609" s="58"/>
      <c r="G609" s="58"/>
      <c r="H609" s="58"/>
      <c r="I609" s="58"/>
      <c r="J609" s="58"/>
      <c r="K609" s="60"/>
    </row>
    <row r="610" spans="1:11" s="52" customFormat="1" ht="12" x14ac:dyDescent="0.2">
      <c r="A610" s="57"/>
      <c r="B610" s="58"/>
      <c r="C610" s="58"/>
      <c r="D610" s="58"/>
      <c r="E610" s="59"/>
      <c r="F610" s="58"/>
      <c r="G610" s="58"/>
      <c r="H610" s="58"/>
      <c r="I610" s="58"/>
      <c r="J610" s="58"/>
      <c r="K610" s="60"/>
    </row>
    <row r="611" spans="1:11" s="52" customFormat="1" ht="12" x14ac:dyDescent="0.2">
      <c r="A611" s="57"/>
      <c r="B611" s="58"/>
      <c r="C611" s="58"/>
      <c r="D611" s="58"/>
      <c r="E611" s="59"/>
      <c r="F611" s="58"/>
      <c r="G611" s="58"/>
      <c r="H611" s="58"/>
      <c r="I611" s="58"/>
      <c r="J611" s="58"/>
      <c r="K611" s="60"/>
    </row>
    <row r="612" spans="1:11" s="52" customFormat="1" ht="12" x14ac:dyDescent="0.2">
      <c r="A612" s="57"/>
      <c r="B612" s="58"/>
      <c r="C612" s="58"/>
      <c r="D612" s="58"/>
      <c r="E612" s="59"/>
      <c r="F612" s="58"/>
      <c r="G612" s="58"/>
      <c r="H612" s="58"/>
      <c r="I612" s="58"/>
      <c r="J612" s="58"/>
      <c r="K612" s="60"/>
    </row>
    <row r="613" spans="1:11" s="52" customFormat="1" ht="12" x14ac:dyDescent="0.2">
      <c r="A613" s="57"/>
      <c r="B613" s="58"/>
      <c r="C613" s="58"/>
      <c r="D613" s="58"/>
      <c r="E613" s="59"/>
      <c r="F613" s="58"/>
      <c r="G613" s="58"/>
      <c r="H613" s="58"/>
      <c r="I613" s="58"/>
      <c r="J613" s="58"/>
      <c r="K613" s="60"/>
    </row>
    <row r="614" spans="1:11" s="52" customFormat="1" ht="12" x14ac:dyDescent="0.2">
      <c r="A614" s="57"/>
      <c r="B614" s="58"/>
      <c r="C614" s="58"/>
      <c r="D614" s="58"/>
      <c r="E614" s="59"/>
      <c r="F614" s="58"/>
      <c r="G614" s="58"/>
      <c r="H614" s="58"/>
      <c r="I614" s="58"/>
      <c r="J614" s="58"/>
      <c r="K614" s="60"/>
    </row>
    <row r="615" spans="1:11" s="52" customFormat="1" ht="12" x14ac:dyDescent="0.2">
      <c r="A615" s="57"/>
      <c r="B615" s="58"/>
      <c r="C615" s="58"/>
      <c r="D615" s="58"/>
      <c r="E615" s="59"/>
      <c r="F615" s="58"/>
      <c r="G615" s="58"/>
      <c r="H615" s="58"/>
      <c r="I615" s="58"/>
      <c r="J615" s="58"/>
      <c r="K615" s="60"/>
    </row>
    <row r="616" spans="1:11" s="52" customFormat="1" ht="12" x14ac:dyDescent="0.2">
      <c r="A616" s="57"/>
      <c r="B616" s="58"/>
      <c r="C616" s="58"/>
      <c r="D616" s="58"/>
      <c r="E616" s="59"/>
      <c r="F616" s="58"/>
      <c r="G616" s="58"/>
      <c r="H616" s="58"/>
      <c r="I616" s="58"/>
      <c r="J616" s="58"/>
      <c r="K616" s="60"/>
    </row>
    <row r="617" spans="1:11" s="52" customFormat="1" ht="12" x14ac:dyDescent="0.2">
      <c r="A617" s="57"/>
      <c r="B617" s="58"/>
      <c r="C617" s="58"/>
      <c r="D617" s="58"/>
      <c r="E617" s="59"/>
      <c r="F617" s="58"/>
      <c r="G617" s="58"/>
      <c r="H617" s="58"/>
      <c r="I617" s="58"/>
      <c r="J617" s="58"/>
      <c r="K617" s="60"/>
    </row>
    <row r="618" spans="1:11" s="52" customFormat="1" ht="12" x14ac:dyDescent="0.2">
      <c r="A618" s="57"/>
      <c r="B618" s="58"/>
      <c r="C618" s="58"/>
      <c r="D618" s="58"/>
      <c r="E618" s="59"/>
      <c r="F618" s="58"/>
      <c r="G618" s="58"/>
      <c r="H618" s="58"/>
      <c r="I618" s="58"/>
      <c r="J618" s="58"/>
      <c r="K618" s="60"/>
    </row>
    <row r="619" spans="1:11" s="52" customFormat="1" ht="12" x14ac:dyDescent="0.2">
      <c r="A619" s="57"/>
      <c r="B619" s="58"/>
      <c r="C619" s="58"/>
      <c r="D619" s="58"/>
      <c r="E619" s="59"/>
      <c r="F619" s="58"/>
      <c r="G619" s="58"/>
      <c r="H619" s="58"/>
      <c r="I619" s="58"/>
      <c r="J619" s="58"/>
      <c r="K619" s="60"/>
    </row>
    <row r="620" spans="1:11" s="52" customFormat="1" ht="12" x14ac:dyDescent="0.2">
      <c r="A620" s="57"/>
      <c r="B620" s="58"/>
      <c r="C620" s="58"/>
      <c r="D620" s="58"/>
      <c r="E620" s="59"/>
      <c r="F620" s="58"/>
      <c r="G620" s="58"/>
      <c r="H620" s="58"/>
      <c r="I620" s="58"/>
      <c r="J620" s="58"/>
      <c r="K620" s="60"/>
    </row>
    <row r="621" spans="1:11" s="52" customFormat="1" ht="12" x14ac:dyDescent="0.2">
      <c r="A621" s="57"/>
      <c r="B621" s="58"/>
      <c r="C621" s="58"/>
      <c r="D621" s="58"/>
      <c r="E621" s="59"/>
      <c r="F621" s="58"/>
      <c r="G621" s="58"/>
      <c r="H621" s="58"/>
      <c r="I621" s="58"/>
      <c r="J621" s="58"/>
      <c r="K621" s="60"/>
    </row>
    <row r="622" spans="1:11" s="52" customFormat="1" ht="12" x14ac:dyDescent="0.2">
      <c r="A622" s="57"/>
      <c r="B622" s="58"/>
      <c r="C622" s="58"/>
      <c r="D622" s="58"/>
      <c r="E622" s="59"/>
      <c r="F622" s="58"/>
      <c r="G622" s="58"/>
      <c r="H622" s="58"/>
      <c r="I622" s="58"/>
      <c r="J622" s="58"/>
      <c r="K622" s="60"/>
    </row>
    <row r="623" spans="1:11" s="52" customFormat="1" ht="12" x14ac:dyDescent="0.2">
      <c r="A623" s="57"/>
      <c r="B623" s="58"/>
      <c r="C623" s="58"/>
      <c r="D623" s="58"/>
      <c r="E623" s="59"/>
      <c r="F623" s="58"/>
      <c r="G623" s="58"/>
      <c r="H623" s="58"/>
      <c r="I623" s="58"/>
      <c r="J623" s="58"/>
      <c r="K623" s="60"/>
    </row>
    <row r="624" spans="1:11" s="52" customFormat="1" ht="12" x14ac:dyDescent="0.2">
      <c r="A624" s="57"/>
      <c r="B624" s="58"/>
      <c r="C624" s="58"/>
      <c r="D624" s="58"/>
      <c r="E624" s="59"/>
      <c r="F624" s="58"/>
      <c r="G624" s="58"/>
      <c r="H624" s="58"/>
      <c r="I624" s="58"/>
      <c r="J624" s="58"/>
      <c r="K624" s="60"/>
    </row>
    <row r="625" spans="1:11" s="52" customFormat="1" ht="12" x14ac:dyDescent="0.2">
      <c r="A625" s="57"/>
      <c r="B625" s="58"/>
      <c r="C625" s="58"/>
      <c r="D625" s="58"/>
      <c r="E625" s="59"/>
      <c r="F625" s="58"/>
      <c r="G625" s="58"/>
      <c r="H625" s="58"/>
      <c r="I625" s="58"/>
      <c r="J625" s="58"/>
      <c r="K625" s="60"/>
    </row>
    <row r="626" spans="1:11" s="52" customFormat="1" ht="12" x14ac:dyDescent="0.2">
      <c r="A626" s="57"/>
      <c r="B626" s="58"/>
      <c r="C626" s="58"/>
      <c r="D626" s="58"/>
      <c r="E626" s="59"/>
      <c r="F626" s="58"/>
      <c r="G626" s="58"/>
      <c r="H626" s="58"/>
      <c r="I626" s="58"/>
      <c r="J626" s="58"/>
      <c r="K626" s="60"/>
    </row>
    <row r="627" spans="1:11" s="52" customFormat="1" ht="12" x14ac:dyDescent="0.2">
      <c r="A627" s="57"/>
      <c r="B627" s="58"/>
      <c r="C627" s="58"/>
      <c r="D627" s="58"/>
      <c r="E627" s="59"/>
      <c r="F627" s="58"/>
      <c r="G627" s="58"/>
      <c r="H627" s="58"/>
      <c r="I627" s="58"/>
      <c r="J627" s="58"/>
      <c r="K627" s="60"/>
    </row>
    <row r="628" spans="1:11" s="52" customFormat="1" ht="12" x14ac:dyDescent="0.2">
      <c r="A628" s="57"/>
      <c r="B628" s="58"/>
      <c r="C628" s="58"/>
      <c r="D628" s="58"/>
      <c r="E628" s="59"/>
      <c r="F628" s="58"/>
      <c r="G628" s="58"/>
      <c r="H628" s="58"/>
      <c r="I628" s="58"/>
      <c r="J628" s="58"/>
      <c r="K628" s="60"/>
    </row>
    <row r="629" spans="1:11" s="52" customFormat="1" ht="12" x14ac:dyDescent="0.2">
      <c r="A629" s="57"/>
      <c r="B629" s="58"/>
      <c r="C629" s="58"/>
      <c r="D629" s="58"/>
      <c r="E629" s="59"/>
      <c r="F629" s="58"/>
      <c r="G629" s="58"/>
      <c r="H629" s="58"/>
      <c r="I629" s="58"/>
      <c r="J629" s="58"/>
      <c r="K629" s="60"/>
    </row>
    <row r="630" spans="1:11" s="52" customFormat="1" ht="12" x14ac:dyDescent="0.2">
      <c r="A630" s="57"/>
      <c r="B630" s="58"/>
      <c r="C630" s="58"/>
      <c r="D630" s="58"/>
      <c r="E630" s="59"/>
      <c r="F630" s="58"/>
      <c r="G630" s="58"/>
      <c r="H630" s="58"/>
      <c r="I630" s="58"/>
      <c r="J630" s="58"/>
      <c r="K630" s="60"/>
    </row>
    <row r="631" spans="1:11" s="52" customFormat="1" ht="12" x14ac:dyDescent="0.2">
      <c r="A631" s="57"/>
      <c r="B631" s="58"/>
      <c r="C631" s="58"/>
      <c r="D631" s="58"/>
      <c r="E631" s="59"/>
      <c r="F631" s="58"/>
      <c r="G631" s="58"/>
      <c r="H631" s="58"/>
      <c r="I631" s="58"/>
      <c r="J631" s="58"/>
      <c r="K631" s="60"/>
    </row>
    <row r="632" spans="1:11" s="52" customFormat="1" ht="12" x14ac:dyDescent="0.2">
      <c r="A632" s="57"/>
      <c r="B632" s="58"/>
      <c r="C632" s="58"/>
      <c r="D632" s="58"/>
      <c r="E632" s="59"/>
      <c r="F632" s="58"/>
      <c r="G632" s="58"/>
      <c r="H632" s="58"/>
      <c r="I632" s="58"/>
      <c r="J632" s="58"/>
      <c r="K632" s="60"/>
    </row>
    <row r="633" spans="1:11" s="52" customFormat="1" ht="12" x14ac:dyDescent="0.2">
      <c r="A633" s="57"/>
      <c r="B633" s="58"/>
      <c r="C633" s="58"/>
      <c r="D633" s="58"/>
      <c r="E633" s="59"/>
      <c r="F633" s="58"/>
      <c r="G633" s="58"/>
      <c r="H633" s="58"/>
      <c r="I633" s="58"/>
      <c r="J633" s="58"/>
      <c r="K633" s="60"/>
    </row>
    <row r="634" spans="1:11" s="52" customFormat="1" ht="12" x14ac:dyDescent="0.2">
      <c r="A634" s="57"/>
      <c r="B634" s="58"/>
      <c r="C634" s="58"/>
      <c r="D634" s="58"/>
      <c r="E634" s="59"/>
      <c r="F634" s="58"/>
      <c r="G634" s="58"/>
      <c r="H634" s="58"/>
      <c r="I634" s="58"/>
      <c r="J634" s="58"/>
      <c r="K634" s="60"/>
    </row>
    <row r="635" spans="1:11" s="52" customFormat="1" ht="12" x14ac:dyDescent="0.2">
      <c r="A635" s="57"/>
      <c r="B635" s="58"/>
      <c r="C635" s="58"/>
      <c r="D635" s="58"/>
      <c r="E635" s="59"/>
      <c r="F635" s="58"/>
      <c r="G635" s="58"/>
      <c r="H635" s="58"/>
      <c r="I635" s="58"/>
      <c r="J635" s="58"/>
      <c r="K635" s="60"/>
    </row>
    <row r="636" spans="1:11" s="52" customFormat="1" ht="12" x14ac:dyDescent="0.2">
      <c r="A636" s="57"/>
      <c r="B636" s="58"/>
      <c r="C636" s="58"/>
      <c r="D636" s="58"/>
      <c r="E636" s="59"/>
      <c r="F636" s="58"/>
      <c r="G636" s="58"/>
      <c r="H636" s="58"/>
      <c r="I636" s="58"/>
      <c r="J636" s="58"/>
      <c r="K636" s="60"/>
    </row>
    <row r="637" spans="1:11" s="52" customFormat="1" ht="12" x14ac:dyDescent="0.2">
      <c r="A637" s="57"/>
      <c r="B637" s="58"/>
      <c r="C637" s="58"/>
      <c r="D637" s="58"/>
      <c r="E637" s="59"/>
      <c r="F637" s="58"/>
      <c r="G637" s="58"/>
      <c r="H637" s="58"/>
      <c r="I637" s="58"/>
      <c r="J637" s="58"/>
      <c r="K637" s="60"/>
    </row>
    <row r="638" spans="1:11" s="52" customFormat="1" ht="12" x14ac:dyDescent="0.2">
      <c r="A638" s="57"/>
      <c r="B638" s="58"/>
      <c r="C638" s="58"/>
      <c r="D638" s="58"/>
      <c r="E638" s="59"/>
      <c r="F638" s="58"/>
      <c r="G638" s="58"/>
      <c r="H638" s="58"/>
      <c r="I638" s="58"/>
      <c r="J638" s="58"/>
      <c r="K638" s="60"/>
    </row>
    <row r="639" spans="1:11" s="52" customFormat="1" ht="12" x14ac:dyDescent="0.2">
      <c r="A639" s="57"/>
      <c r="B639" s="58"/>
      <c r="C639" s="58"/>
      <c r="D639" s="58"/>
      <c r="E639" s="59"/>
      <c r="F639" s="58"/>
      <c r="G639" s="58"/>
      <c r="H639" s="58"/>
      <c r="I639" s="58"/>
      <c r="J639" s="58"/>
      <c r="K639" s="60"/>
    </row>
    <row r="640" spans="1:11" s="52" customFormat="1" ht="12" x14ac:dyDescent="0.2">
      <c r="A640" s="57"/>
      <c r="B640" s="58"/>
      <c r="C640" s="58"/>
      <c r="D640" s="58"/>
      <c r="E640" s="59"/>
      <c r="F640" s="58"/>
      <c r="G640" s="58"/>
      <c r="H640" s="58"/>
      <c r="I640" s="58"/>
      <c r="J640" s="58"/>
      <c r="K640" s="60"/>
    </row>
    <row r="641" spans="1:11" s="52" customFormat="1" ht="12" x14ac:dyDescent="0.2">
      <c r="A641" s="57"/>
      <c r="B641" s="58"/>
      <c r="C641" s="58"/>
      <c r="D641" s="58"/>
      <c r="E641" s="59"/>
      <c r="F641" s="58"/>
      <c r="G641" s="58"/>
      <c r="H641" s="58"/>
      <c r="I641" s="58"/>
      <c r="J641" s="58"/>
      <c r="K641" s="60"/>
    </row>
    <row r="642" spans="1:11" s="52" customFormat="1" ht="12" x14ac:dyDescent="0.2">
      <c r="A642" s="57"/>
      <c r="B642" s="58"/>
      <c r="C642" s="58"/>
      <c r="D642" s="58"/>
      <c r="E642" s="59"/>
      <c r="F642" s="58"/>
      <c r="G642" s="58"/>
      <c r="H642" s="58"/>
      <c r="I642" s="58"/>
      <c r="J642" s="58"/>
      <c r="K642" s="60"/>
    </row>
    <row r="643" spans="1:11" s="52" customFormat="1" ht="12" x14ac:dyDescent="0.2">
      <c r="A643" s="57"/>
      <c r="B643" s="58"/>
      <c r="C643" s="58"/>
      <c r="D643" s="58"/>
      <c r="E643" s="59"/>
      <c r="F643" s="58"/>
      <c r="G643" s="58"/>
      <c r="H643" s="58"/>
      <c r="I643" s="58"/>
      <c r="J643" s="58"/>
      <c r="K643" s="60"/>
    </row>
    <row r="644" spans="1:11" s="52" customFormat="1" ht="12" x14ac:dyDescent="0.2">
      <c r="A644" s="57"/>
      <c r="B644" s="58"/>
      <c r="C644" s="58"/>
      <c r="D644" s="58"/>
      <c r="E644" s="59"/>
      <c r="F644" s="58"/>
      <c r="G644" s="58"/>
      <c r="H644" s="58"/>
      <c r="I644" s="58"/>
      <c r="J644" s="58"/>
      <c r="K644" s="60"/>
    </row>
    <row r="645" spans="1:11" s="52" customFormat="1" ht="12" x14ac:dyDescent="0.2">
      <c r="A645" s="57"/>
      <c r="B645" s="58"/>
      <c r="C645" s="58"/>
      <c r="D645" s="58"/>
      <c r="E645" s="59"/>
      <c r="F645" s="58"/>
      <c r="G645" s="58"/>
      <c r="H645" s="58"/>
      <c r="I645" s="58"/>
      <c r="J645" s="58"/>
      <c r="K645" s="60"/>
    </row>
    <row r="646" spans="1:11" s="52" customFormat="1" ht="12" x14ac:dyDescent="0.2">
      <c r="A646" s="57"/>
      <c r="B646" s="58"/>
      <c r="C646" s="58"/>
      <c r="D646" s="58"/>
      <c r="E646" s="59"/>
      <c r="F646" s="58"/>
      <c r="G646" s="58"/>
      <c r="H646" s="58"/>
      <c r="I646" s="58"/>
      <c r="J646" s="58"/>
      <c r="K646" s="60"/>
    </row>
    <row r="647" spans="1:11" s="52" customFormat="1" ht="12" x14ac:dyDescent="0.2">
      <c r="A647" s="57"/>
      <c r="B647" s="58"/>
      <c r="C647" s="58"/>
      <c r="D647" s="58"/>
      <c r="E647" s="59"/>
      <c r="F647" s="58"/>
      <c r="G647" s="58"/>
      <c r="H647" s="58"/>
      <c r="I647" s="58"/>
      <c r="J647" s="58"/>
      <c r="K647" s="60"/>
    </row>
    <row r="648" spans="1:11" s="52" customFormat="1" ht="12" x14ac:dyDescent="0.2">
      <c r="A648" s="57"/>
      <c r="B648" s="58"/>
      <c r="C648" s="58"/>
      <c r="D648" s="58"/>
      <c r="E648" s="59"/>
      <c r="F648" s="58"/>
      <c r="G648" s="58"/>
      <c r="H648" s="58"/>
      <c r="I648" s="58"/>
      <c r="J648" s="58"/>
      <c r="K648" s="60"/>
    </row>
    <row r="649" spans="1:11" s="52" customFormat="1" ht="12" x14ac:dyDescent="0.2">
      <c r="A649" s="57"/>
      <c r="B649" s="58"/>
      <c r="C649" s="58"/>
      <c r="D649" s="58"/>
      <c r="E649" s="59"/>
      <c r="F649" s="58"/>
      <c r="G649" s="58"/>
      <c r="H649" s="58"/>
      <c r="I649" s="58"/>
      <c r="J649" s="58"/>
      <c r="K649" s="60"/>
    </row>
    <row r="650" spans="1:11" s="52" customFormat="1" ht="12" x14ac:dyDescent="0.2">
      <c r="A650" s="57"/>
      <c r="B650" s="58"/>
      <c r="C650" s="58"/>
      <c r="D650" s="58"/>
      <c r="E650" s="59"/>
      <c r="F650" s="58"/>
      <c r="G650" s="58"/>
      <c r="H650" s="58"/>
      <c r="I650" s="58"/>
      <c r="J650" s="58"/>
      <c r="K650" s="60"/>
    </row>
    <row r="651" spans="1:11" s="52" customFormat="1" ht="12" x14ac:dyDescent="0.2">
      <c r="A651" s="57"/>
      <c r="B651" s="58"/>
      <c r="C651" s="58"/>
      <c r="D651" s="58"/>
      <c r="E651" s="59"/>
      <c r="F651" s="58"/>
      <c r="G651" s="58"/>
      <c r="H651" s="58"/>
      <c r="I651" s="58"/>
      <c r="J651" s="58"/>
      <c r="K651" s="60"/>
    </row>
    <row r="652" spans="1:11" s="52" customFormat="1" ht="12" x14ac:dyDescent="0.2">
      <c r="A652" s="57"/>
      <c r="B652" s="58"/>
      <c r="C652" s="58"/>
      <c r="D652" s="58"/>
      <c r="E652" s="59"/>
      <c r="F652" s="58"/>
      <c r="G652" s="58"/>
      <c r="H652" s="58"/>
      <c r="I652" s="58"/>
      <c r="J652" s="58"/>
      <c r="K652" s="60"/>
    </row>
    <row r="653" spans="1:11" s="52" customFormat="1" ht="12" x14ac:dyDescent="0.2">
      <c r="A653" s="57"/>
      <c r="B653" s="58"/>
      <c r="C653" s="58"/>
      <c r="D653" s="58"/>
      <c r="E653" s="59"/>
      <c r="F653" s="58"/>
      <c r="G653" s="58"/>
      <c r="H653" s="58"/>
      <c r="I653" s="58"/>
      <c r="J653" s="58"/>
      <c r="K653" s="60"/>
    </row>
    <row r="654" spans="1:11" s="52" customFormat="1" ht="12" x14ac:dyDescent="0.2">
      <c r="A654" s="57"/>
      <c r="B654" s="58"/>
      <c r="C654" s="58"/>
      <c r="D654" s="58"/>
      <c r="E654" s="59"/>
      <c r="F654" s="58"/>
      <c r="G654" s="58"/>
      <c r="H654" s="58"/>
      <c r="I654" s="58"/>
      <c r="J654" s="58"/>
      <c r="K654" s="60"/>
    </row>
    <row r="655" spans="1:11" s="52" customFormat="1" ht="12" x14ac:dyDescent="0.2">
      <c r="A655" s="57"/>
      <c r="B655" s="58"/>
      <c r="C655" s="58"/>
      <c r="D655" s="58"/>
      <c r="E655" s="59"/>
      <c r="F655" s="58"/>
      <c r="G655" s="58"/>
      <c r="H655" s="58"/>
      <c r="I655" s="58"/>
      <c r="J655" s="58"/>
      <c r="K655" s="60"/>
    </row>
    <row r="656" spans="1:11" s="52" customFormat="1" ht="12" x14ac:dyDescent="0.2">
      <c r="A656" s="57"/>
      <c r="B656" s="58"/>
      <c r="C656" s="58"/>
      <c r="D656" s="58"/>
      <c r="E656" s="59"/>
      <c r="F656" s="58"/>
      <c r="G656" s="58"/>
      <c r="H656" s="58"/>
      <c r="I656" s="58"/>
      <c r="J656" s="58"/>
      <c r="K656" s="60"/>
    </row>
    <row r="657" spans="1:11" s="52" customFormat="1" ht="12" x14ac:dyDescent="0.2">
      <c r="A657" s="57"/>
      <c r="B657" s="58"/>
      <c r="C657" s="58"/>
      <c r="D657" s="58"/>
      <c r="E657" s="59"/>
      <c r="F657" s="58"/>
      <c r="G657" s="58"/>
      <c r="H657" s="58"/>
      <c r="I657" s="58"/>
      <c r="J657" s="58"/>
      <c r="K657" s="60"/>
    </row>
    <row r="658" spans="1:11" s="52" customFormat="1" ht="12" x14ac:dyDescent="0.2">
      <c r="A658" s="57"/>
      <c r="B658" s="58"/>
      <c r="C658" s="58"/>
      <c r="D658" s="58"/>
      <c r="E658" s="59"/>
      <c r="F658" s="58"/>
      <c r="G658" s="58"/>
      <c r="H658" s="58"/>
      <c r="I658" s="58"/>
      <c r="J658" s="58"/>
      <c r="K658" s="60"/>
    </row>
    <row r="659" spans="1:11" s="52" customFormat="1" ht="12" x14ac:dyDescent="0.2">
      <c r="A659" s="57"/>
      <c r="B659" s="58"/>
      <c r="C659" s="58"/>
      <c r="D659" s="58"/>
      <c r="E659" s="59"/>
      <c r="F659" s="58"/>
      <c r="G659" s="58"/>
      <c r="H659" s="58"/>
      <c r="I659" s="58"/>
      <c r="J659" s="58"/>
      <c r="K659" s="60"/>
    </row>
    <row r="660" spans="1:11" s="52" customFormat="1" ht="12" x14ac:dyDescent="0.2">
      <c r="A660" s="57"/>
      <c r="B660" s="58"/>
      <c r="C660" s="58"/>
      <c r="D660" s="58"/>
      <c r="E660" s="59"/>
      <c r="F660" s="58"/>
      <c r="G660" s="58"/>
      <c r="H660" s="58"/>
      <c r="I660" s="58"/>
      <c r="J660" s="58"/>
      <c r="K660" s="60"/>
    </row>
    <row r="661" spans="1:11" s="52" customFormat="1" ht="12" x14ac:dyDescent="0.2">
      <c r="A661" s="57"/>
      <c r="B661" s="58"/>
      <c r="C661" s="58"/>
      <c r="D661" s="58"/>
      <c r="E661" s="59"/>
      <c r="F661" s="58"/>
      <c r="G661" s="58"/>
      <c r="H661" s="58"/>
      <c r="I661" s="58"/>
      <c r="J661" s="58"/>
      <c r="K661" s="60"/>
    </row>
    <row r="662" spans="1:11" s="52" customFormat="1" ht="12" x14ac:dyDescent="0.2">
      <c r="A662" s="57"/>
      <c r="B662" s="58"/>
      <c r="C662" s="58"/>
      <c r="D662" s="58"/>
      <c r="E662" s="59"/>
      <c r="F662" s="58"/>
      <c r="G662" s="58"/>
      <c r="H662" s="58"/>
      <c r="I662" s="58"/>
      <c r="J662" s="58"/>
      <c r="K662" s="60"/>
    </row>
    <row r="663" spans="1:11" s="52" customFormat="1" ht="12" x14ac:dyDescent="0.2">
      <c r="A663" s="57"/>
      <c r="B663" s="58"/>
      <c r="C663" s="58"/>
      <c r="D663" s="58"/>
      <c r="E663" s="59"/>
      <c r="F663" s="58"/>
      <c r="G663" s="58"/>
      <c r="H663" s="58"/>
      <c r="I663" s="58"/>
      <c r="J663" s="58"/>
      <c r="K663" s="60"/>
    </row>
    <row r="664" spans="1:11" s="52" customFormat="1" ht="12" x14ac:dyDescent="0.2">
      <c r="A664" s="57"/>
      <c r="B664" s="58"/>
      <c r="C664" s="58"/>
      <c r="D664" s="58"/>
      <c r="E664" s="59"/>
      <c r="F664" s="58"/>
      <c r="G664" s="58"/>
      <c r="H664" s="58"/>
      <c r="I664" s="58"/>
      <c r="J664" s="58"/>
      <c r="K664" s="60"/>
    </row>
    <row r="665" spans="1:11" s="52" customFormat="1" ht="12" x14ac:dyDescent="0.2">
      <c r="A665" s="57"/>
      <c r="B665" s="58"/>
      <c r="C665" s="58"/>
      <c r="D665" s="58"/>
      <c r="E665" s="59"/>
      <c r="F665" s="58"/>
      <c r="G665" s="58"/>
      <c r="H665" s="58"/>
      <c r="I665" s="58"/>
      <c r="J665" s="58"/>
      <c r="K665" s="60"/>
    </row>
    <row r="666" spans="1:11" s="52" customFormat="1" ht="12" x14ac:dyDescent="0.2">
      <c r="A666" s="57"/>
      <c r="B666" s="58"/>
      <c r="C666" s="58"/>
      <c r="D666" s="58"/>
      <c r="E666" s="59"/>
      <c r="F666" s="58"/>
      <c r="G666" s="58"/>
      <c r="H666" s="58"/>
      <c r="I666" s="58"/>
      <c r="J666" s="58"/>
      <c r="K666" s="60"/>
    </row>
    <row r="667" spans="1:11" s="52" customFormat="1" ht="12" x14ac:dyDescent="0.2">
      <c r="A667" s="57"/>
      <c r="B667" s="58"/>
      <c r="C667" s="58"/>
      <c r="D667" s="58"/>
      <c r="E667" s="59"/>
      <c r="F667" s="58"/>
      <c r="G667" s="58"/>
      <c r="H667" s="58"/>
      <c r="I667" s="58"/>
      <c r="J667" s="58"/>
      <c r="K667" s="60"/>
    </row>
    <row r="668" spans="1:11" s="52" customFormat="1" ht="12" x14ac:dyDescent="0.2">
      <c r="A668" s="57"/>
      <c r="B668" s="58"/>
      <c r="C668" s="58"/>
      <c r="D668" s="58"/>
      <c r="E668" s="59"/>
      <c r="F668" s="58"/>
      <c r="G668" s="58"/>
      <c r="H668" s="58"/>
      <c r="I668" s="58"/>
      <c r="J668" s="58"/>
      <c r="K668" s="60"/>
    </row>
    <row r="669" spans="1:11" s="52" customFormat="1" ht="12" x14ac:dyDescent="0.2">
      <c r="A669" s="57"/>
      <c r="B669" s="58"/>
      <c r="C669" s="58"/>
      <c r="D669" s="58"/>
      <c r="E669" s="59"/>
      <c r="F669" s="58"/>
      <c r="G669" s="58"/>
      <c r="H669" s="58"/>
      <c r="I669" s="58"/>
      <c r="J669" s="58"/>
      <c r="K669" s="60"/>
    </row>
    <row r="670" spans="1:11" s="52" customFormat="1" ht="12" x14ac:dyDescent="0.2">
      <c r="A670" s="57"/>
      <c r="B670" s="58"/>
      <c r="C670" s="58"/>
      <c r="D670" s="58"/>
      <c r="E670" s="59"/>
      <c r="F670" s="58"/>
      <c r="G670" s="58"/>
      <c r="H670" s="58"/>
      <c r="I670" s="58"/>
      <c r="J670" s="58"/>
      <c r="K670" s="60"/>
    </row>
    <row r="671" spans="1:11" s="52" customFormat="1" ht="12" x14ac:dyDescent="0.2">
      <c r="A671" s="57"/>
      <c r="B671" s="58"/>
      <c r="C671" s="58"/>
      <c r="D671" s="58"/>
      <c r="E671" s="59"/>
      <c r="F671" s="58"/>
      <c r="G671" s="58"/>
      <c r="H671" s="58"/>
      <c r="I671" s="58"/>
      <c r="J671" s="58"/>
      <c r="K671" s="60"/>
    </row>
    <row r="672" spans="1:11" s="52" customFormat="1" ht="12" x14ac:dyDescent="0.2">
      <c r="A672" s="57"/>
      <c r="B672" s="58"/>
      <c r="C672" s="58"/>
      <c r="D672" s="58"/>
      <c r="E672" s="59"/>
      <c r="F672" s="58"/>
      <c r="G672" s="58"/>
      <c r="H672" s="58"/>
      <c r="I672" s="58"/>
      <c r="J672" s="58"/>
      <c r="K672" s="60"/>
    </row>
    <row r="673" spans="1:11" s="52" customFormat="1" ht="12" x14ac:dyDescent="0.2">
      <c r="A673" s="57"/>
      <c r="B673" s="58"/>
      <c r="C673" s="58"/>
      <c r="D673" s="58"/>
      <c r="E673" s="59"/>
      <c r="F673" s="58"/>
      <c r="G673" s="58"/>
      <c r="H673" s="58"/>
      <c r="I673" s="58"/>
      <c r="J673" s="58"/>
      <c r="K673" s="60"/>
    </row>
    <row r="674" spans="1:11" s="52" customFormat="1" ht="12" x14ac:dyDescent="0.2">
      <c r="A674" s="57"/>
      <c r="B674" s="58"/>
      <c r="C674" s="58"/>
      <c r="D674" s="58"/>
      <c r="E674" s="59"/>
      <c r="F674" s="58"/>
      <c r="G674" s="58"/>
      <c r="H674" s="58"/>
      <c r="I674" s="58"/>
      <c r="J674" s="58"/>
      <c r="K674" s="60"/>
    </row>
    <row r="675" spans="1:11" s="52" customFormat="1" ht="12" x14ac:dyDescent="0.2">
      <c r="A675" s="57"/>
      <c r="B675" s="58"/>
      <c r="C675" s="58"/>
      <c r="D675" s="58"/>
      <c r="E675" s="59"/>
      <c r="F675" s="58"/>
      <c r="G675" s="58"/>
      <c r="H675" s="58"/>
      <c r="I675" s="58"/>
      <c r="J675" s="58"/>
      <c r="K675" s="60"/>
    </row>
    <row r="676" spans="1:11" s="52" customFormat="1" ht="12" x14ac:dyDescent="0.2">
      <c r="A676" s="57"/>
      <c r="B676" s="58"/>
      <c r="C676" s="58"/>
      <c r="D676" s="58"/>
      <c r="E676" s="59"/>
      <c r="F676" s="58"/>
      <c r="G676" s="58"/>
      <c r="H676" s="58"/>
      <c r="I676" s="58"/>
      <c r="J676" s="58"/>
      <c r="K676" s="60"/>
    </row>
    <row r="677" spans="1:11" s="52" customFormat="1" ht="12" x14ac:dyDescent="0.2">
      <c r="A677" s="57"/>
      <c r="B677" s="58"/>
      <c r="C677" s="58"/>
      <c r="D677" s="58"/>
      <c r="E677" s="59"/>
      <c r="F677" s="58"/>
      <c r="G677" s="58"/>
      <c r="H677" s="58"/>
      <c r="I677" s="58"/>
      <c r="J677" s="58"/>
      <c r="K677" s="60"/>
    </row>
    <row r="678" spans="1:11" s="52" customFormat="1" ht="12" x14ac:dyDescent="0.2">
      <c r="A678" s="57"/>
      <c r="B678" s="58"/>
      <c r="C678" s="58"/>
      <c r="D678" s="58"/>
      <c r="E678" s="59"/>
      <c r="F678" s="58"/>
      <c r="G678" s="58"/>
      <c r="H678" s="58"/>
      <c r="I678" s="58"/>
      <c r="J678" s="58"/>
      <c r="K678" s="60"/>
    </row>
    <row r="679" spans="1:11" s="52" customFormat="1" ht="12" x14ac:dyDescent="0.2">
      <c r="A679" s="57"/>
      <c r="B679" s="58"/>
      <c r="C679" s="58"/>
      <c r="D679" s="58"/>
      <c r="E679" s="59"/>
      <c r="F679" s="58"/>
      <c r="G679" s="58"/>
      <c r="H679" s="58"/>
      <c r="I679" s="58"/>
      <c r="J679" s="58"/>
      <c r="K679" s="60"/>
    </row>
    <row r="680" spans="1:11" s="52" customFormat="1" ht="12" x14ac:dyDescent="0.2">
      <c r="A680" s="57"/>
      <c r="B680" s="58"/>
      <c r="C680" s="58"/>
      <c r="D680" s="58"/>
      <c r="E680" s="59"/>
      <c r="F680" s="58"/>
      <c r="G680" s="58"/>
      <c r="H680" s="58"/>
      <c r="I680" s="58"/>
      <c r="J680" s="58"/>
      <c r="K680" s="60"/>
    </row>
    <row r="681" spans="1:11" s="52" customFormat="1" ht="12" x14ac:dyDescent="0.2">
      <c r="A681" s="57"/>
      <c r="B681" s="58"/>
      <c r="C681" s="58"/>
      <c r="D681" s="58"/>
      <c r="E681" s="59"/>
      <c r="F681" s="58"/>
      <c r="G681" s="58"/>
      <c r="H681" s="58"/>
      <c r="I681" s="58"/>
      <c r="J681" s="58"/>
      <c r="K681" s="60"/>
    </row>
    <row r="682" spans="1:11" s="52" customFormat="1" ht="12" x14ac:dyDescent="0.2">
      <c r="A682" s="57"/>
      <c r="B682" s="58"/>
      <c r="C682" s="58"/>
      <c r="D682" s="58"/>
      <c r="E682" s="59"/>
      <c r="F682" s="58"/>
      <c r="G682" s="58"/>
      <c r="H682" s="58"/>
      <c r="I682" s="58"/>
      <c r="J682" s="58"/>
      <c r="K682" s="60"/>
    </row>
    <row r="683" spans="1:11" s="52" customFormat="1" ht="12" x14ac:dyDescent="0.2">
      <c r="A683" s="57"/>
      <c r="B683" s="58"/>
      <c r="C683" s="58"/>
      <c r="D683" s="58"/>
      <c r="E683" s="59"/>
      <c r="F683" s="58"/>
      <c r="G683" s="58"/>
      <c r="H683" s="58"/>
      <c r="I683" s="58"/>
      <c r="J683" s="58"/>
      <c r="K683" s="60"/>
    </row>
    <row r="684" spans="1:11" s="52" customFormat="1" ht="12" x14ac:dyDescent="0.2">
      <c r="A684" s="57"/>
      <c r="B684" s="58"/>
      <c r="C684" s="58"/>
      <c r="D684" s="58"/>
      <c r="E684" s="59"/>
      <c r="F684" s="58"/>
      <c r="G684" s="58"/>
      <c r="H684" s="58"/>
      <c r="I684" s="58"/>
      <c r="J684" s="58"/>
      <c r="K684" s="60"/>
    </row>
    <row r="685" spans="1:11" s="52" customFormat="1" ht="12" x14ac:dyDescent="0.2">
      <c r="A685" s="57"/>
      <c r="B685" s="58"/>
      <c r="C685" s="58"/>
      <c r="D685" s="58"/>
      <c r="E685" s="59"/>
      <c r="F685" s="58"/>
      <c r="G685" s="58"/>
      <c r="H685" s="58"/>
      <c r="I685" s="58"/>
      <c r="J685" s="58"/>
      <c r="K685" s="60"/>
    </row>
    <row r="686" spans="1:11" s="52" customFormat="1" ht="12" x14ac:dyDescent="0.2">
      <c r="A686" s="57"/>
      <c r="B686" s="58"/>
      <c r="C686" s="58"/>
      <c r="D686" s="58"/>
      <c r="E686" s="59"/>
      <c r="F686" s="58"/>
      <c r="G686" s="58"/>
      <c r="H686" s="58"/>
      <c r="I686" s="58"/>
      <c r="J686" s="58"/>
      <c r="K686" s="60"/>
    </row>
    <row r="687" spans="1:11" s="52" customFormat="1" ht="12" x14ac:dyDescent="0.2">
      <c r="A687" s="57"/>
      <c r="B687" s="58"/>
      <c r="C687" s="58"/>
      <c r="D687" s="58"/>
      <c r="E687" s="59"/>
      <c r="F687" s="58"/>
      <c r="G687" s="58"/>
      <c r="H687" s="58"/>
      <c r="I687" s="58"/>
      <c r="J687" s="58"/>
      <c r="K687" s="60"/>
    </row>
    <row r="688" spans="1:11" s="52" customFormat="1" ht="12" x14ac:dyDescent="0.2">
      <c r="A688" s="57"/>
      <c r="B688" s="58"/>
      <c r="C688" s="58"/>
      <c r="D688" s="58"/>
      <c r="E688" s="59"/>
      <c r="F688" s="58"/>
      <c r="G688" s="58"/>
      <c r="H688" s="58"/>
      <c r="I688" s="58"/>
      <c r="J688" s="58"/>
      <c r="K688" s="60"/>
    </row>
    <row r="689" spans="1:11" s="52" customFormat="1" ht="12" x14ac:dyDescent="0.2">
      <c r="A689" s="57"/>
      <c r="B689" s="58"/>
      <c r="C689" s="58"/>
      <c r="D689" s="58"/>
      <c r="E689" s="59"/>
      <c r="F689" s="58"/>
      <c r="G689" s="58"/>
      <c r="H689" s="58"/>
      <c r="I689" s="58"/>
      <c r="J689" s="58"/>
      <c r="K689" s="60"/>
    </row>
    <row r="690" spans="1:11" s="52" customFormat="1" ht="12" x14ac:dyDescent="0.2">
      <c r="A690" s="57"/>
      <c r="B690" s="58"/>
      <c r="C690" s="58"/>
      <c r="D690" s="58"/>
      <c r="E690" s="59"/>
      <c r="F690" s="58"/>
      <c r="G690" s="58"/>
      <c r="H690" s="58"/>
      <c r="I690" s="58"/>
      <c r="J690" s="58"/>
      <c r="K690" s="60"/>
    </row>
    <row r="691" spans="1:11" s="52" customFormat="1" ht="12" x14ac:dyDescent="0.2">
      <c r="A691" s="57"/>
      <c r="B691" s="58"/>
      <c r="C691" s="58"/>
      <c r="D691" s="58"/>
      <c r="E691" s="59"/>
      <c r="F691" s="58"/>
      <c r="G691" s="58"/>
      <c r="H691" s="58"/>
      <c r="I691" s="58"/>
      <c r="J691" s="58"/>
      <c r="K691" s="60"/>
    </row>
    <row r="692" spans="1:11" s="52" customFormat="1" ht="12" x14ac:dyDescent="0.2">
      <c r="A692" s="57"/>
      <c r="B692" s="58"/>
      <c r="C692" s="58"/>
      <c r="D692" s="58"/>
      <c r="E692" s="59"/>
      <c r="F692" s="58"/>
      <c r="G692" s="58"/>
      <c r="H692" s="58"/>
      <c r="I692" s="58"/>
      <c r="J692" s="58"/>
      <c r="K692" s="60"/>
    </row>
    <row r="693" spans="1:11" s="52" customFormat="1" ht="12" x14ac:dyDescent="0.2">
      <c r="A693" s="57"/>
      <c r="B693" s="58"/>
      <c r="C693" s="58"/>
      <c r="D693" s="58"/>
      <c r="E693" s="59"/>
      <c r="F693" s="58"/>
      <c r="G693" s="58"/>
      <c r="H693" s="58"/>
      <c r="I693" s="58"/>
      <c r="J693" s="58"/>
      <c r="K693" s="60"/>
    </row>
    <row r="694" spans="1:11" s="52" customFormat="1" ht="12" x14ac:dyDescent="0.2">
      <c r="A694" s="57"/>
      <c r="B694" s="58"/>
      <c r="C694" s="58"/>
      <c r="D694" s="58"/>
      <c r="E694" s="59"/>
      <c r="F694" s="58"/>
      <c r="G694" s="58"/>
      <c r="H694" s="58"/>
      <c r="I694" s="58"/>
      <c r="J694" s="58"/>
      <c r="K694" s="60"/>
    </row>
    <row r="695" spans="1:11" s="52" customFormat="1" ht="12" x14ac:dyDescent="0.2">
      <c r="A695" s="57"/>
      <c r="B695" s="58"/>
      <c r="C695" s="58"/>
      <c r="D695" s="58"/>
      <c r="E695" s="59"/>
      <c r="F695" s="58"/>
      <c r="G695" s="58"/>
      <c r="H695" s="58"/>
      <c r="I695" s="58"/>
      <c r="J695" s="58"/>
      <c r="K695" s="60"/>
    </row>
    <row r="696" spans="1:11" s="52" customFormat="1" ht="12" x14ac:dyDescent="0.2">
      <c r="A696" s="57"/>
      <c r="B696" s="58"/>
      <c r="C696" s="58"/>
      <c r="D696" s="58"/>
      <c r="E696" s="59"/>
      <c r="F696" s="58"/>
      <c r="G696" s="58"/>
      <c r="H696" s="58"/>
      <c r="I696" s="58"/>
      <c r="J696" s="58"/>
      <c r="K696" s="60"/>
    </row>
    <row r="697" spans="1:11" s="52" customFormat="1" ht="12" x14ac:dyDescent="0.2">
      <c r="A697" s="57"/>
      <c r="B697" s="58"/>
      <c r="C697" s="58"/>
      <c r="D697" s="58"/>
      <c r="E697" s="59"/>
      <c r="F697" s="58"/>
      <c r="G697" s="58"/>
      <c r="H697" s="58"/>
      <c r="I697" s="58"/>
      <c r="J697" s="58"/>
      <c r="K697" s="60"/>
    </row>
    <row r="698" spans="1:11" s="52" customFormat="1" ht="12" x14ac:dyDescent="0.2">
      <c r="A698" s="57"/>
      <c r="B698" s="58"/>
      <c r="C698" s="58"/>
      <c r="D698" s="58"/>
      <c r="E698" s="59"/>
      <c r="F698" s="58"/>
      <c r="G698" s="58"/>
      <c r="H698" s="58"/>
      <c r="I698" s="58"/>
      <c r="J698" s="58"/>
      <c r="K698" s="60"/>
    </row>
    <row r="699" spans="1:11" s="52" customFormat="1" ht="12" x14ac:dyDescent="0.2">
      <c r="A699" s="57"/>
      <c r="B699" s="58"/>
      <c r="C699" s="58"/>
      <c r="D699" s="58"/>
      <c r="E699" s="59"/>
      <c r="F699" s="58"/>
      <c r="G699" s="58"/>
      <c r="H699" s="58"/>
      <c r="I699" s="58"/>
      <c r="J699" s="58"/>
      <c r="K699" s="60"/>
    </row>
    <row r="700" spans="1:11" s="52" customFormat="1" ht="12" x14ac:dyDescent="0.2">
      <c r="A700" s="57"/>
      <c r="B700" s="58"/>
      <c r="C700" s="58"/>
      <c r="D700" s="58"/>
      <c r="E700" s="59"/>
      <c r="F700" s="58"/>
      <c r="G700" s="58"/>
      <c r="H700" s="58"/>
      <c r="I700" s="58"/>
      <c r="J700" s="58"/>
      <c r="K700" s="60"/>
    </row>
    <row r="701" spans="1:11" s="52" customFormat="1" ht="12" x14ac:dyDescent="0.2">
      <c r="A701" s="57"/>
      <c r="B701" s="58"/>
      <c r="C701" s="58"/>
      <c r="D701" s="58"/>
      <c r="E701" s="59"/>
      <c r="F701" s="58"/>
      <c r="G701" s="58"/>
      <c r="H701" s="58"/>
      <c r="I701" s="58"/>
      <c r="J701" s="58"/>
      <c r="K701" s="60"/>
    </row>
    <row r="702" spans="1:11" s="52" customFormat="1" ht="12" x14ac:dyDescent="0.2">
      <c r="A702" s="57"/>
      <c r="B702" s="58"/>
      <c r="C702" s="58"/>
      <c r="D702" s="58"/>
      <c r="E702" s="59"/>
      <c r="F702" s="58"/>
      <c r="G702" s="58"/>
      <c r="H702" s="58"/>
      <c r="I702" s="58"/>
      <c r="J702" s="58"/>
      <c r="K702" s="60"/>
    </row>
    <row r="703" spans="1:11" s="52" customFormat="1" ht="12" x14ac:dyDescent="0.2">
      <c r="A703" s="57"/>
      <c r="B703" s="58"/>
      <c r="C703" s="58"/>
      <c r="D703" s="58"/>
      <c r="E703" s="59"/>
      <c r="F703" s="58"/>
      <c r="G703" s="58"/>
      <c r="H703" s="58"/>
      <c r="I703" s="58"/>
      <c r="J703" s="58"/>
      <c r="K703" s="60"/>
    </row>
    <row r="704" spans="1:11" s="52" customFormat="1" ht="12" x14ac:dyDescent="0.2">
      <c r="A704" s="57"/>
      <c r="B704" s="58"/>
      <c r="C704" s="58"/>
      <c r="D704" s="58"/>
      <c r="E704" s="59"/>
      <c r="F704" s="58"/>
      <c r="G704" s="58"/>
      <c r="H704" s="58"/>
      <c r="I704" s="58"/>
      <c r="J704" s="58"/>
      <c r="K704" s="60"/>
    </row>
    <row r="705" spans="1:11" s="52" customFormat="1" ht="12" x14ac:dyDescent="0.2">
      <c r="A705" s="57"/>
      <c r="B705" s="58"/>
      <c r="C705" s="58"/>
      <c r="D705" s="58"/>
      <c r="E705" s="59"/>
      <c r="F705" s="58"/>
      <c r="G705" s="58"/>
      <c r="H705" s="58"/>
      <c r="I705" s="58"/>
      <c r="J705" s="58"/>
      <c r="K705" s="60"/>
    </row>
    <row r="706" spans="1:11" s="52" customFormat="1" ht="12" x14ac:dyDescent="0.2">
      <c r="A706" s="57"/>
      <c r="B706" s="58"/>
      <c r="C706" s="58"/>
      <c r="D706" s="58"/>
      <c r="E706" s="59"/>
      <c r="F706" s="58"/>
      <c r="G706" s="58"/>
      <c r="H706" s="58"/>
      <c r="I706" s="58"/>
      <c r="J706" s="58"/>
      <c r="K706" s="60"/>
    </row>
    <row r="707" spans="1:11" s="52" customFormat="1" ht="12" x14ac:dyDescent="0.2">
      <c r="A707" s="57"/>
      <c r="B707" s="58"/>
      <c r="C707" s="58"/>
      <c r="D707" s="58"/>
      <c r="E707" s="59"/>
      <c r="F707" s="58"/>
      <c r="G707" s="58"/>
      <c r="H707" s="58"/>
      <c r="I707" s="58"/>
      <c r="J707" s="58"/>
      <c r="K707" s="60"/>
    </row>
    <row r="708" spans="1:11" s="52" customFormat="1" ht="12" x14ac:dyDescent="0.2">
      <c r="A708" s="57"/>
      <c r="B708" s="58"/>
      <c r="C708" s="58"/>
      <c r="D708" s="58"/>
      <c r="E708" s="59"/>
      <c r="F708" s="58"/>
      <c r="G708" s="58"/>
      <c r="H708" s="58"/>
      <c r="I708" s="58"/>
      <c r="J708" s="58"/>
      <c r="K708" s="60"/>
    </row>
    <row r="709" spans="1:11" s="52" customFormat="1" ht="12" x14ac:dyDescent="0.2">
      <c r="A709" s="57"/>
      <c r="B709" s="58"/>
      <c r="C709" s="58"/>
      <c r="D709" s="58"/>
      <c r="E709" s="59"/>
      <c r="F709" s="58"/>
      <c r="G709" s="58"/>
      <c r="H709" s="58"/>
      <c r="I709" s="58"/>
      <c r="J709" s="58"/>
      <c r="K709" s="60"/>
    </row>
    <row r="710" spans="1:11" s="52" customFormat="1" ht="12" x14ac:dyDescent="0.2">
      <c r="A710" s="57"/>
      <c r="B710" s="58"/>
      <c r="C710" s="58"/>
      <c r="D710" s="58"/>
      <c r="E710" s="59"/>
      <c r="F710" s="58"/>
      <c r="G710" s="58"/>
      <c r="H710" s="58"/>
      <c r="I710" s="58"/>
      <c r="J710" s="58"/>
      <c r="K710" s="60"/>
    </row>
    <row r="711" spans="1:11" s="52" customFormat="1" ht="12" x14ac:dyDescent="0.2">
      <c r="A711" s="57"/>
      <c r="B711" s="58"/>
      <c r="C711" s="58"/>
      <c r="D711" s="58"/>
      <c r="E711" s="59"/>
      <c r="F711" s="58"/>
      <c r="G711" s="58"/>
      <c r="H711" s="58"/>
      <c r="I711" s="58"/>
      <c r="J711" s="58"/>
      <c r="K711" s="60"/>
    </row>
    <row r="712" spans="1:11" s="52" customFormat="1" ht="12" x14ac:dyDescent="0.2">
      <c r="A712" s="57"/>
      <c r="B712" s="58"/>
      <c r="C712" s="58"/>
      <c r="D712" s="58"/>
      <c r="E712" s="59"/>
      <c r="F712" s="58"/>
      <c r="G712" s="58"/>
      <c r="H712" s="58"/>
      <c r="I712" s="58"/>
      <c r="J712" s="58"/>
      <c r="K712" s="60"/>
    </row>
    <row r="713" spans="1:11" s="52" customFormat="1" ht="12" x14ac:dyDescent="0.2">
      <c r="A713" s="57"/>
      <c r="B713" s="58"/>
      <c r="C713" s="58"/>
      <c r="D713" s="58"/>
      <c r="E713" s="59"/>
      <c r="F713" s="58"/>
      <c r="G713" s="58"/>
      <c r="H713" s="58"/>
      <c r="I713" s="58"/>
      <c r="J713" s="58"/>
      <c r="K713" s="60"/>
    </row>
    <row r="714" spans="1:11" s="52" customFormat="1" ht="12" x14ac:dyDescent="0.2">
      <c r="A714" s="57"/>
      <c r="B714" s="58"/>
      <c r="C714" s="58"/>
      <c r="D714" s="58"/>
      <c r="E714" s="59"/>
      <c r="F714" s="58"/>
      <c r="G714" s="58"/>
      <c r="H714" s="58"/>
      <c r="I714" s="58"/>
      <c r="J714" s="58"/>
      <c r="K714" s="60"/>
    </row>
    <row r="715" spans="1:11" s="52" customFormat="1" ht="12" x14ac:dyDescent="0.2">
      <c r="A715" s="57"/>
      <c r="B715" s="58"/>
      <c r="C715" s="58"/>
      <c r="D715" s="58"/>
      <c r="E715" s="59"/>
      <c r="F715" s="58"/>
      <c r="G715" s="58"/>
      <c r="H715" s="58"/>
      <c r="I715" s="58"/>
      <c r="J715" s="58"/>
      <c r="K715" s="60"/>
    </row>
    <row r="716" spans="1:11" s="52" customFormat="1" ht="12" x14ac:dyDescent="0.2">
      <c r="A716" s="57"/>
      <c r="B716" s="58"/>
      <c r="C716" s="58"/>
      <c r="D716" s="58"/>
      <c r="E716" s="59"/>
      <c r="F716" s="58"/>
      <c r="G716" s="58"/>
      <c r="H716" s="58"/>
      <c r="I716" s="58"/>
      <c r="J716" s="58"/>
      <c r="K716" s="60"/>
    </row>
    <row r="717" spans="1:11" s="52" customFormat="1" ht="12" x14ac:dyDescent="0.2">
      <c r="A717" s="57"/>
      <c r="B717" s="58"/>
      <c r="C717" s="58"/>
      <c r="D717" s="58"/>
      <c r="E717" s="59"/>
      <c r="F717" s="58"/>
      <c r="G717" s="58"/>
      <c r="H717" s="58"/>
      <c r="I717" s="58"/>
      <c r="J717" s="58"/>
      <c r="K717" s="60"/>
    </row>
    <row r="718" spans="1:11" s="52" customFormat="1" ht="12" x14ac:dyDescent="0.2">
      <c r="A718" s="57"/>
      <c r="B718" s="58"/>
      <c r="C718" s="58"/>
      <c r="D718" s="58"/>
      <c r="E718" s="59"/>
      <c r="F718" s="58"/>
      <c r="G718" s="58"/>
      <c r="H718" s="58"/>
      <c r="I718" s="58"/>
      <c r="J718" s="58"/>
      <c r="K718" s="60"/>
    </row>
    <row r="719" spans="1:11" s="52" customFormat="1" ht="12" x14ac:dyDescent="0.2">
      <c r="A719" s="57"/>
      <c r="B719" s="58"/>
      <c r="C719" s="58"/>
      <c r="D719" s="58"/>
      <c r="E719" s="59"/>
      <c r="F719" s="58"/>
      <c r="G719" s="58"/>
      <c r="H719" s="58"/>
      <c r="I719" s="58"/>
      <c r="J719" s="58"/>
      <c r="K719" s="60"/>
    </row>
    <row r="720" spans="1:11" s="52" customFormat="1" ht="12" x14ac:dyDescent="0.2">
      <c r="A720" s="57"/>
      <c r="B720" s="58"/>
      <c r="C720" s="58"/>
      <c r="D720" s="58"/>
      <c r="E720" s="59"/>
      <c r="F720" s="58"/>
      <c r="G720" s="58"/>
      <c r="H720" s="58"/>
      <c r="I720" s="58"/>
      <c r="J720" s="58"/>
      <c r="K720" s="60"/>
    </row>
    <row r="721" spans="1:11" s="52" customFormat="1" ht="12" x14ac:dyDescent="0.2">
      <c r="A721" s="57"/>
      <c r="B721" s="58"/>
      <c r="C721" s="58"/>
      <c r="D721" s="58"/>
      <c r="E721" s="59"/>
      <c r="F721" s="58"/>
      <c r="G721" s="58"/>
      <c r="H721" s="58"/>
      <c r="I721" s="58"/>
      <c r="J721" s="58"/>
      <c r="K721" s="60"/>
    </row>
    <row r="722" spans="1:11" s="52" customFormat="1" ht="12" x14ac:dyDescent="0.2">
      <c r="A722" s="57"/>
      <c r="B722" s="58"/>
      <c r="C722" s="58"/>
      <c r="D722" s="58"/>
      <c r="E722" s="59"/>
      <c r="F722" s="58"/>
      <c r="G722" s="58"/>
      <c r="H722" s="58"/>
      <c r="I722" s="58"/>
      <c r="J722" s="58"/>
      <c r="K722" s="60"/>
    </row>
    <row r="723" spans="1:11" s="52" customFormat="1" ht="12" x14ac:dyDescent="0.2">
      <c r="A723" s="57"/>
      <c r="B723" s="58"/>
      <c r="C723" s="58"/>
      <c r="D723" s="58"/>
      <c r="E723" s="59"/>
      <c r="F723" s="58"/>
      <c r="G723" s="58"/>
      <c r="H723" s="58"/>
      <c r="I723" s="58"/>
      <c r="J723" s="58"/>
      <c r="K723" s="60"/>
    </row>
    <row r="724" spans="1:11" s="52" customFormat="1" ht="12" x14ac:dyDescent="0.2">
      <c r="A724" s="57"/>
      <c r="B724" s="58"/>
      <c r="C724" s="58"/>
      <c r="D724" s="58"/>
      <c r="E724" s="59"/>
      <c r="F724" s="58"/>
      <c r="G724" s="58"/>
      <c r="H724" s="58"/>
      <c r="I724" s="58"/>
      <c r="J724" s="58"/>
      <c r="K724" s="60"/>
    </row>
    <row r="725" spans="1:11" s="52" customFormat="1" ht="12" x14ac:dyDescent="0.2">
      <c r="A725" s="57"/>
      <c r="B725" s="58"/>
      <c r="C725" s="58"/>
      <c r="D725" s="58"/>
      <c r="E725" s="59"/>
      <c r="F725" s="58"/>
      <c r="G725" s="58"/>
      <c r="H725" s="58"/>
      <c r="I725" s="58"/>
      <c r="J725" s="58"/>
      <c r="K725" s="60"/>
    </row>
    <row r="726" spans="1:11" s="52" customFormat="1" ht="12" x14ac:dyDescent="0.2">
      <c r="A726" s="57"/>
      <c r="B726" s="58"/>
      <c r="C726" s="58"/>
      <c r="D726" s="58"/>
      <c r="E726" s="59"/>
      <c r="F726" s="58"/>
      <c r="G726" s="58"/>
      <c r="H726" s="58"/>
      <c r="I726" s="58"/>
      <c r="J726" s="58"/>
      <c r="K726" s="60"/>
    </row>
    <row r="727" spans="1:11" s="52" customFormat="1" ht="12" x14ac:dyDescent="0.2">
      <c r="A727" s="57"/>
      <c r="B727" s="58"/>
      <c r="C727" s="58"/>
      <c r="D727" s="58"/>
      <c r="E727" s="59"/>
      <c r="F727" s="58"/>
      <c r="G727" s="58"/>
      <c r="H727" s="58"/>
      <c r="I727" s="58"/>
      <c r="J727" s="58"/>
      <c r="K727" s="60"/>
    </row>
    <row r="728" spans="1:11" s="52" customFormat="1" ht="12" x14ac:dyDescent="0.2">
      <c r="A728" s="57"/>
      <c r="B728" s="58"/>
      <c r="C728" s="58"/>
      <c r="D728" s="58"/>
      <c r="E728" s="59"/>
      <c r="F728" s="58"/>
      <c r="G728" s="58"/>
      <c r="H728" s="58"/>
      <c r="I728" s="58"/>
      <c r="J728" s="58"/>
      <c r="K728" s="60"/>
    </row>
    <row r="729" spans="1:11" s="52" customFormat="1" ht="12" x14ac:dyDescent="0.2">
      <c r="A729" s="57"/>
      <c r="B729" s="58"/>
      <c r="C729" s="58"/>
      <c r="D729" s="58"/>
      <c r="E729" s="59"/>
      <c r="F729" s="58"/>
      <c r="G729" s="58"/>
      <c r="H729" s="58"/>
      <c r="I729" s="58"/>
      <c r="J729" s="58"/>
      <c r="K729" s="60"/>
    </row>
    <row r="730" spans="1:11" s="52" customFormat="1" ht="12" x14ac:dyDescent="0.2">
      <c r="A730" s="57"/>
      <c r="B730" s="58"/>
      <c r="C730" s="58"/>
      <c r="D730" s="58"/>
      <c r="E730" s="59"/>
      <c r="F730" s="58"/>
      <c r="G730" s="58"/>
      <c r="H730" s="58"/>
      <c r="I730" s="58"/>
      <c r="J730" s="58"/>
      <c r="K730" s="60"/>
    </row>
    <row r="731" spans="1:11" s="52" customFormat="1" ht="12" x14ac:dyDescent="0.2">
      <c r="A731" s="57"/>
      <c r="B731" s="58"/>
      <c r="C731" s="58"/>
      <c r="D731" s="58"/>
      <c r="E731" s="59"/>
      <c r="F731" s="58"/>
      <c r="G731" s="58"/>
      <c r="H731" s="58"/>
      <c r="I731" s="58"/>
      <c r="J731" s="58"/>
      <c r="K731" s="60"/>
    </row>
    <row r="732" spans="1:11" s="52" customFormat="1" ht="12" x14ac:dyDescent="0.2">
      <c r="A732" s="57"/>
      <c r="B732" s="58"/>
      <c r="C732" s="58"/>
      <c r="D732" s="58"/>
      <c r="E732" s="59"/>
      <c r="F732" s="58"/>
      <c r="G732" s="58"/>
      <c r="H732" s="58"/>
      <c r="I732" s="58"/>
      <c r="J732" s="58"/>
      <c r="K732" s="60"/>
    </row>
    <row r="733" spans="1:11" s="52" customFormat="1" ht="12" x14ac:dyDescent="0.2">
      <c r="A733" s="57"/>
      <c r="B733" s="58"/>
      <c r="C733" s="58"/>
      <c r="D733" s="58"/>
      <c r="E733" s="59"/>
      <c r="F733" s="58"/>
      <c r="G733" s="58"/>
      <c r="H733" s="58"/>
      <c r="I733" s="58"/>
      <c r="J733" s="58"/>
      <c r="K733" s="60"/>
    </row>
    <row r="734" spans="1:11" s="52" customFormat="1" ht="12" x14ac:dyDescent="0.2">
      <c r="A734" s="57"/>
      <c r="B734" s="58"/>
      <c r="C734" s="58"/>
      <c r="D734" s="58"/>
      <c r="E734" s="59"/>
      <c r="F734" s="58"/>
      <c r="G734" s="58"/>
      <c r="H734" s="58"/>
      <c r="I734" s="58"/>
      <c r="J734" s="58"/>
      <c r="K734" s="60"/>
    </row>
    <row r="735" spans="1:11" s="52" customFormat="1" ht="12" x14ac:dyDescent="0.2">
      <c r="A735" s="57"/>
      <c r="B735" s="58"/>
      <c r="C735" s="58"/>
      <c r="D735" s="58"/>
      <c r="E735" s="59"/>
      <c r="F735" s="58"/>
      <c r="G735" s="58"/>
      <c r="H735" s="58"/>
      <c r="I735" s="58"/>
      <c r="J735" s="58"/>
      <c r="K735" s="60"/>
    </row>
    <row r="736" spans="1:11" s="52" customFormat="1" ht="12" x14ac:dyDescent="0.2">
      <c r="A736" s="57"/>
      <c r="B736" s="58"/>
      <c r="C736" s="58"/>
      <c r="D736" s="58"/>
      <c r="E736" s="59"/>
      <c r="F736" s="58"/>
      <c r="G736" s="58"/>
      <c r="H736" s="58"/>
      <c r="I736" s="58"/>
      <c r="J736" s="58"/>
      <c r="K736" s="60"/>
    </row>
    <row r="737" spans="1:11" s="52" customFormat="1" ht="12" x14ac:dyDescent="0.2">
      <c r="A737" s="57"/>
      <c r="B737" s="58"/>
      <c r="C737" s="58"/>
      <c r="D737" s="58"/>
      <c r="E737" s="59"/>
      <c r="F737" s="58"/>
      <c r="G737" s="58"/>
      <c r="H737" s="58"/>
      <c r="I737" s="58"/>
      <c r="J737" s="58"/>
      <c r="K737" s="60"/>
    </row>
    <row r="738" spans="1:11" s="52" customFormat="1" ht="12" x14ac:dyDescent="0.2">
      <c r="A738" s="57"/>
      <c r="B738" s="58"/>
      <c r="C738" s="58"/>
      <c r="D738" s="58"/>
      <c r="E738" s="59"/>
      <c r="F738" s="58"/>
      <c r="G738" s="58"/>
      <c r="H738" s="58"/>
      <c r="I738" s="58"/>
      <c r="J738" s="58"/>
      <c r="K738" s="60"/>
    </row>
    <row r="739" spans="1:11" s="52" customFormat="1" ht="12" x14ac:dyDescent="0.2">
      <c r="A739" s="57"/>
      <c r="B739" s="58"/>
      <c r="C739" s="58"/>
      <c r="D739" s="58"/>
      <c r="E739" s="59"/>
      <c r="F739" s="58"/>
      <c r="G739" s="58"/>
      <c r="H739" s="58"/>
      <c r="I739" s="58"/>
      <c r="J739" s="58"/>
      <c r="K739" s="60"/>
    </row>
    <row r="740" spans="1:11" x14ac:dyDescent="0.25">
      <c r="A740" s="90"/>
      <c r="B740" s="88"/>
      <c r="C740" s="88"/>
      <c r="D740" s="88"/>
      <c r="E740" s="89"/>
      <c r="F740" s="88"/>
      <c r="G740" s="88"/>
      <c r="H740" s="88"/>
      <c r="I740" s="88"/>
      <c r="J740" s="88"/>
      <c r="K740" s="91"/>
    </row>
    <row r="741" spans="1:11" x14ac:dyDescent="0.25">
      <c r="A741" s="90"/>
      <c r="B741" s="88"/>
      <c r="C741" s="88"/>
      <c r="D741" s="88"/>
      <c r="E741" s="89"/>
      <c r="F741" s="88"/>
      <c r="G741" s="88"/>
      <c r="H741" s="88"/>
      <c r="I741" s="88"/>
      <c r="J741" s="88"/>
      <c r="K741" s="91"/>
    </row>
    <row r="742" spans="1:11" x14ac:dyDescent="0.25">
      <c r="A742" s="90"/>
      <c r="B742" s="88"/>
      <c r="C742" s="88"/>
      <c r="D742" s="88"/>
      <c r="E742" s="89"/>
      <c r="F742" s="88"/>
      <c r="G742" s="88"/>
      <c r="H742" s="88"/>
      <c r="I742" s="88"/>
      <c r="J742" s="88"/>
      <c r="K742" s="91"/>
    </row>
    <row r="743" spans="1:11" x14ac:dyDescent="0.25">
      <c r="A743" s="90"/>
      <c r="B743" s="88"/>
      <c r="C743" s="88"/>
      <c r="D743" s="88"/>
      <c r="E743" s="89"/>
      <c r="F743" s="88"/>
      <c r="G743" s="88"/>
      <c r="H743" s="88"/>
      <c r="I743" s="88"/>
      <c r="J743" s="88"/>
      <c r="K743" s="91"/>
    </row>
    <row r="744" spans="1:11" x14ac:dyDescent="0.25">
      <c r="A744" s="90"/>
      <c r="B744" s="88"/>
      <c r="C744" s="88"/>
      <c r="D744" s="88"/>
      <c r="E744" s="89"/>
      <c r="F744" s="88"/>
      <c r="G744" s="88"/>
      <c r="H744" s="88"/>
      <c r="I744" s="88"/>
      <c r="J744" s="88"/>
      <c r="K744" s="91"/>
    </row>
    <row r="745" spans="1:11" x14ac:dyDescent="0.25">
      <c r="A745" s="90"/>
      <c r="B745" s="88"/>
      <c r="C745" s="88"/>
      <c r="D745" s="88"/>
      <c r="E745" s="89"/>
      <c r="F745" s="88"/>
      <c r="G745" s="88"/>
      <c r="H745" s="88"/>
      <c r="I745" s="88"/>
      <c r="J745" s="88"/>
      <c r="K745" s="91"/>
    </row>
    <row r="746" spans="1:11" x14ac:dyDescent="0.25">
      <c r="A746" s="90"/>
      <c r="B746" s="88"/>
      <c r="C746" s="88"/>
      <c r="D746" s="88"/>
      <c r="E746" s="89"/>
      <c r="F746" s="88"/>
      <c r="G746" s="88"/>
      <c r="H746" s="88"/>
      <c r="I746" s="88"/>
      <c r="J746" s="88"/>
      <c r="K746" s="91"/>
    </row>
    <row r="747" spans="1:11" x14ac:dyDescent="0.25">
      <c r="A747" s="90"/>
      <c r="B747" s="88"/>
      <c r="C747" s="88"/>
      <c r="D747" s="88"/>
      <c r="E747" s="89"/>
      <c r="F747" s="88"/>
      <c r="G747" s="88"/>
      <c r="H747" s="88"/>
      <c r="I747" s="88"/>
      <c r="J747" s="88"/>
      <c r="K747" s="91"/>
    </row>
    <row r="748" spans="1:11" x14ac:dyDescent="0.25">
      <c r="A748" s="90"/>
      <c r="B748" s="88"/>
      <c r="C748" s="88"/>
      <c r="D748" s="88"/>
      <c r="E748" s="89"/>
      <c r="F748" s="88"/>
      <c r="G748" s="88"/>
      <c r="H748" s="88"/>
      <c r="I748" s="88"/>
      <c r="J748" s="88"/>
      <c r="K748" s="91"/>
    </row>
    <row r="749" spans="1:11" x14ac:dyDescent="0.25">
      <c r="A749" s="90"/>
      <c r="B749" s="88"/>
      <c r="C749" s="88"/>
      <c r="D749" s="88"/>
      <c r="E749" s="89"/>
      <c r="F749" s="88"/>
      <c r="G749" s="88"/>
      <c r="H749" s="88"/>
      <c r="I749" s="88"/>
      <c r="J749" s="88"/>
      <c r="K749" s="91"/>
    </row>
    <row r="750" spans="1:11" x14ac:dyDescent="0.25">
      <c r="A750" s="90"/>
      <c r="B750" s="88"/>
      <c r="C750" s="88"/>
      <c r="D750" s="88"/>
      <c r="E750" s="89"/>
      <c r="F750" s="88"/>
      <c r="G750" s="88"/>
      <c r="H750" s="88"/>
      <c r="I750" s="88"/>
      <c r="J750" s="88"/>
      <c r="K750" s="91"/>
    </row>
    <row r="751" spans="1:11" x14ac:dyDescent="0.25">
      <c r="A751" s="90"/>
      <c r="B751" s="88"/>
      <c r="C751" s="88"/>
      <c r="D751" s="88"/>
      <c r="E751" s="89"/>
      <c r="F751" s="88"/>
      <c r="G751" s="88"/>
      <c r="H751" s="88"/>
      <c r="I751" s="88"/>
      <c r="J751" s="88"/>
      <c r="K751" s="91"/>
    </row>
    <row r="752" spans="1:11" x14ac:dyDescent="0.25">
      <c r="A752" s="90"/>
      <c r="B752" s="88"/>
      <c r="C752" s="88"/>
      <c r="D752" s="88"/>
      <c r="E752" s="89"/>
      <c r="F752" s="88"/>
      <c r="G752" s="88"/>
      <c r="H752" s="88"/>
      <c r="I752" s="88"/>
      <c r="J752" s="88"/>
      <c r="K752" s="91"/>
    </row>
    <row r="753" spans="1:11" x14ac:dyDescent="0.25">
      <c r="A753" s="90"/>
      <c r="B753" s="88"/>
      <c r="C753" s="88"/>
      <c r="D753" s="88"/>
      <c r="E753" s="89"/>
      <c r="F753" s="88"/>
      <c r="G753" s="88"/>
      <c r="H753" s="88"/>
      <c r="I753" s="88"/>
      <c r="J753" s="88"/>
      <c r="K753" s="91"/>
    </row>
    <row r="754" spans="1:11" x14ac:dyDescent="0.25">
      <c r="A754" s="90"/>
      <c r="B754" s="88"/>
      <c r="C754" s="88"/>
      <c r="D754" s="88"/>
      <c r="E754" s="89"/>
      <c r="F754" s="88"/>
      <c r="G754" s="88"/>
      <c r="H754" s="88"/>
      <c r="I754" s="88"/>
      <c r="J754" s="88"/>
      <c r="K754" s="91"/>
    </row>
    <row r="755" spans="1:11" x14ac:dyDescent="0.25">
      <c r="A755" s="90"/>
      <c r="B755" s="88"/>
      <c r="C755" s="88"/>
      <c r="D755" s="88"/>
      <c r="E755" s="89"/>
      <c r="F755" s="88"/>
      <c r="G755" s="88"/>
      <c r="H755" s="88"/>
      <c r="I755" s="88"/>
      <c r="J755" s="88"/>
      <c r="K755" s="91"/>
    </row>
    <row r="756" spans="1:11" x14ac:dyDescent="0.25">
      <c r="A756" s="90"/>
      <c r="B756" s="88"/>
      <c r="C756" s="88"/>
      <c r="D756" s="88"/>
      <c r="E756" s="89"/>
      <c r="F756" s="88"/>
      <c r="G756" s="88"/>
      <c r="H756" s="88"/>
      <c r="I756" s="88"/>
      <c r="J756" s="88"/>
      <c r="K756" s="91"/>
    </row>
    <row r="757" spans="1:11" x14ac:dyDescent="0.25">
      <c r="A757" s="90"/>
      <c r="B757" s="88"/>
      <c r="C757" s="88"/>
      <c r="D757" s="88"/>
      <c r="E757" s="89"/>
      <c r="F757" s="88"/>
      <c r="G757" s="88"/>
      <c r="H757" s="88"/>
      <c r="I757" s="88"/>
      <c r="J757" s="88"/>
      <c r="K757" s="91"/>
    </row>
    <row r="758" spans="1:11" x14ac:dyDescent="0.25">
      <c r="A758" s="90"/>
      <c r="B758" s="88"/>
      <c r="C758" s="88"/>
      <c r="D758" s="88"/>
      <c r="E758" s="89"/>
      <c r="F758" s="88"/>
      <c r="G758" s="88"/>
      <c r="H758" s="88"/>
      <c r="I758" s="88"/>
      <c r="J758" s="88"/>
      <c r="K758" s="91"/>
    </row>
    <row r="759" spans="1:11" x14ac:dyDescent="0.25">
      <c r="A759" s="90"/>
      <c r="B759" s="88"/>
      <c r="C759" s="88"/>
      <c r="D759" s="88"/>
      <c r="E759" s="89"/>
      <c r="F759" s="88"/>
      <c r="G759" s="88"/>
      <c r="H759" s="88"/>
      <c r="I759" s="88"/>
      <c r="J759" s="88"/>
      <c r="K759" s="91"/>
    </row>
    <row r="760" spans="1:11" x14ac:dyDescent="0.25">
      <c r="A760" s="90"/>
      <c r="B760" s="88"/>
      <c r="C760" s="88"/>
      <c r="D760" s="88"/>
      <c r="E760" s="89"/>
      <c r="F760" s="88"/>
      <c r="G760" s="88"/>
      <c r="H760" s="88"/>
      <c r="I760" s="88"/>
      <c r="J760" s="88"/>
      <c r="K760" s="91"/>
    </row>
    <row r="761" spans="1:11" x14ac:dyDescent="0.25">
      <c r="A761" s="90"/>
      <c r="B761" s="88"/>
      <c r="C761" s="88"/>
      <c r="D761" s="88"/>
      <c r="E761" s="89"/>
      <c r="F761" s="88"/>
      <c r="G761" s="88"/>
      <c r="H761" s="88"/>
      <c r="I761" s="88"/>
      <c r="J761" s="88"/>
      <c r="K761" s="91"/>
    </row>
    <row r="762" spans="1:11" x14ac:dyDescent="0.25">
      <c r="A762" s="90"/>
      <c r="B762" s="88"/>
      <c r="C762" s="88"/>
      <c r="D762" s="88"/>
      <c r="E762" s="89"/>
      <c r="F762" s="88"/>
      <c r="G762" s="88"/>
      <c r="H762" s="88"/>
      <c r="I762" s="88"/>
      <c r="J762" s="88"/>
      <c r="K762" s="91"/>
    </row>
    <row r="763" spans="1:11" x14ac:dyDescent="0.25">
      <c r="A763" s="90"/>
      <c r="B763" s="88"/>
      <c r="C763" s="88"/>
      <c r="D763" s="88"/>
      <c r="E763" s="89"/>
      <c r="F763" s="88"/>
      <c r="G763" s="88"/>
      <c r="H763" s="88"/>
      <c r="I763" s="88"/>
      <c r="J763" s="88"/>
      <c r="K763" s="91"/>
    </row>
    <row r="764" spans="1:11" x14ac:dyDescent="0.25">
      <c r="A764" s="90"/>
      <c r="B764" s="88"/>
      <c r="C764" s="88"/>
      <c r="D764" s="88"/>
      <c r="E764" s="89"/>
      <c r="F764" s="88"/>
      <c r="G764" s="88"/>
      <c r="H764" s="88"/>
      <c r="I764" s="88"/>
      <c r="J764" s="88"/>
      <c r="K764" s="91"/>
    </row>
    <row r="765" spans="1:11" x14ac:dyDescent="0.25">
      <c r="A765" s="90"/>
      <c r="B765" s="88"/>
      <c r="C765" s="88"/>
      <c r="D765" s="88"/>
      <c r="E765" s="89"/>
      <c r="F765" s="88"/>
      <c r="G765" s="88"/>
      <c r="H765" s="88"/>
      <c r="I765" s="88"/>
      <c r="J765" s="88"/>
      <c r="K765" s="91"/>
    </row>
    <row r="766" spans="1:11" x14ac:dyDescent="0.25">
      <c r="A766" s="90"/>
      <c r="B766" s="88"/>
      <c r="C766" s="88"/>
      <c r="D766" s="88"/>
      <c r="E766" s="89"/>
      <c r="F766" s="88"/>
      <c r="G766" s="88"/>
      <c r="H766" s="88"/>
      <c r="I766" s="88"/>
      <c r="J766" s="88"/>
      <c r="K766" s="91"/>
    </row>
    <row r="767" spans="1:11" x14ac:dyDescent="0.25">
      <c r="A767" s="90"/>
      <c r="B767" s="88"/>
      <c r="C767" s="88"/>
      <c r="D767" s="88"/>
      <c r="E767" s="89"/>
      <c r="F767" s="88"/>
      <c r="G767" s="88"/>
      <c r="H767" s="88"/>
      <c r="I767" s="88"/>
      <c r="J767" s="88"/>
      <c r="K767" s="91"/>
    </row>
    <row r="768" spans="1:11" x14ac:dyDescent="0.25">
      <c r="A768" s="90"/>
      <c r="B768" s="88"/>
      <c r="C768" s="88"/>
      <c r="D768" s="88"/>
      <c r="E768" s="89"/>
      <c r="F768" s="88"/>
      <c r="G768" s="88"/>
      <c r="H768" s="88"/>
      <c r="I768" s="88"/>
      <c r="J768" s="88"/>
      <c r="K768" s="91"/>
    </row>
    <row r="769" spans="1:11" x14ac:dyDescent="0.25">
      <c r="A769" s="90"/>
      <c r="B769" s="88"/>
      <c r="C769" s="88"/>
      <c r="D769" s="88"/>
      <c r="E769" s="89"/>
      <c r="F769" s="88"/>
      <c r="G769" s="88"/>
      <c r="H769" s="88"/>
      <c r="I769" s="88"/>
      <c r="J769" s="88"/>
      <c r="K769" s="91"/>
    </row>
    <row r="770" spans="1:11" x14ac:dyDescent="0.25">
      <c r="A770" s="90"/>
      <c r="B770" s="88"/>
      <c r="C770" s="88"/>
      <c r="D770" s="88"/>
      <c r="E770" s="89"/>
      <c r="F770" s="88"/>
      <c r="G770" s="88"/>
      <c r="H770" s="88"/>
      <c r="I770" s="88"/>
      <c r="J770" s="88"/>
      <c r="K770" s="91"/>
    </row>
    <row r="771" spans="1:11" x14ac:dyDescent="0.25">
      <c r="A771" s="90"/>
      <c r="B771" s="88"/>
      <c r="C771" s="88"/>
      <c r="D771" s="88"/>
      <c r="E771" s="89"/>
      <c r="F771" s="88"/>
      <c r="G771" s="88"/>
      <c r="H771" s="88"/>
      <c r="I771" s="88"/>
      <c r="J771" s="88"/>
      <c r="K771" s="91"/>
    </row>
    <row r="772" spans="1:11" x14ac:dyDescent="0.25">
      <c r="A772" s="90"/>
      <c r="B772" s="88"/>
      <c r="C772" s="88"/>
      <c r="D772" s="88"/>
      <c r="E772" s="89"/>
      <c r="F772" s="88"/>
      <c r="G772" s="88"/>
      <c r="H772" s="88"/>
      <c r="I772" s="88"/>
      <c r="J772" s="88"/>
      <c r="K772" s="91"/>
    </row>
    <row r="773" spans="1:11" x14ac:dyDescent="0.25">
      <c r="A773" s="90"/>
      <c r="B773" s="88"/>
      <c r="C773" s="88"/>
      <c r="D773" s="88"/>
      <c r="E773" s="89"/>
      <c r="F773" s="88"/>
      <c r="G773" s="88"/>
      <c r="H773" s="88"/>
      <c r="I773" s="88"/>
      <c r="J773" s="88"/>
      <c r="K773" s="91"/>
    </row>
    <row r="774" spans="1:11" x14ac:dyDescent="0.25">
      <c r="A774" s="90"/>
      <c r="B774" s="88"/>
      <c r="C774" s="88"/>
      <c r="D774" s="88"/>
      <c r="E774" s="89"/>
      <c r="F774" s="88"/>
      <c r="G774" s="88"/>
      <c r="H774" s="88"/>
      <c r="I774" s="88"/>
      <c r="J774" s="88"/>
      <c r="K774" s="91"/>
    </row>
    <row r="775" spans="1:11" x14ac:dyDescent="0.25">
      <c r="A775" s="90"/>
      <c r="B775" s="88"/>
      <c r="C775" s="88"/>
      <c r="D775" s="88"/>
      <c r="E775" s="89"/>
      <c r="F775" s="88"/>
      <c r="G775" s="88"/>
      <c r="H775" s="88"/>
      <c r="I775" s="88"/>
      <c r="J775" s="88"/>
      <c r="K775" s="91"/>
    </row>
    <row r="776" spans="1:11" x14ac:dyDescent="0.25">
      <c r="A776" s="90"/>
      <c r="B776" s="88"/>
      <c r="C776" s="88"/>
      <c r="D776" s="88"/>
      <c r="E776" s="89"/>
      <c r="F776" s="88"/>
      <c r="G776" s="88"/>
      <c r="H776" s="88"/>
      <c r="I776" s="88"/>
      <c r="J776" s="88"/>
      <c r="K776" s="91"/>
    </row>
    <row r="777" spans="1:11" x14ac:dyDescent="0.25">
      <c r="A777" s="90"/>
      <c r="B777" s="88"/>
      <c r="C777" s="88"/>
      <c r="D777" s="88"/>
      <c r="E777" s="89"/>
      <c r="F777" s="88"/>
      <c r="G777" s="88"/>
      <c r="H777" s="88"/>
      <c r="I777" s="88"/>
      <c r="J777" s="88"/>
      <c r="K777" s="91"/>
    </row>
    <row r="778" spans="1:11" x14ac:dyDescent="0.25">
      <c r="A778" s="90"/>
      <c r="B778" s="88"/>
      <c r="C778" s="88"/>
      <c r="D778" s="88"/>
      <c r="E778" s="89"/>
      <c r="F778" s="88"/>
      <c r="G778" s="88"/>
      <c r="H778" s="88"/>
      <c r="I778" s="88"/>
      <c r="J778" s="88"/>
      <c r="K778" s="91"/>
    </row>
    <row r="779" spans="1:11" x14ac:dyDescent="0.25">
      <c r="A779" s="90"/>
      <c r="B779" s="88"/>
      <c r="C779" s="88"/>
      <c r="D779" s="88"/>
      <c r="E779" s="89"/>
      <c r="F779" s="88"/>
      <c r="G779" s="88"/>
      <c r="H779" s="88"/>
      <c r="I779" s="88"/>
      <c r="J779" s="88"/>
      <c r="K779" s="91"/>
    </row>
    <row r="780" spans="1:11" x14ac:dyDescent="0.25">
      <c r="A780" s="90"/>
      <c r="B780" s="88"/>
      <c r="C780" s="88"/>
      <c r="D780" s="88"/>
      <c r="E780" s="89"/>
      <c r="F780" s="88"/>
      <c r="G780" s="88"/>
      <c r="H780" s="88"/>
      <c r="I780" s="88"/>
      <c r="J780" s="88"/>
      <c r="K780" s="91"/>
    </row>
    <row r="781" spans="1:11" x14ac:dyDescent="0.25">
      <c r="A781" s="90"/>
      <c r="B781" s="88"/>
      <c r="C781" s="88"/>
      <c r="D781" s="88"/>
      <c r="E781" s="89"/>
      <c r="F781" s="88"/>
      <c r="G781" s="88"/>
      <c r="H781" s="88"/>
      <c r="I781" s="88"/>
      <c r="J781" s="88"/>
      <c r="K781" s="91"/>
    </row>
    <row r="782" spans="1:11" x14ac:dyDescent="0.25">
      <c r="A782" s="90"/>
      <c r="B782" s="88"/>
      <c r="C782" s="88"/>
      <c r="D782" s="88"/>
      <c r="E782" s="89"/>
      <c r="F782" s="88"/>
      <c r="G782" s="88"/>
      <c r="H782" s="88"/>
      <c r="I782" s="88"/>
      <c r="J782" s="88"/>
      <c r="K782" s="91"/>
    </row>
    <row r="783" spans="1:11" x14ac:dyDescent="0.25">
      <c r="A783" s="90"/>
      <c r="B783" s="88"/>
      <c r="C783" s="88"/>
      <c r="D783" s="88"/>
      <c r="E783" s="89"/>
      <c r="F783" s="88"/>
      <c r="G783" s="88"/>
      <c r="H783" s="88"/>
      <c r="I783" s="88"/>
      <c r="J783" s="88"/>
      <c r="K783" s="91"/>
    </row>
    <row r="784" spans="1:11" x14ac:dyDescent="0.25">
      <c r="A784" s="90"/>
      <c r="B784" s="88"/>
      <c r="C784" s="88"/>
      <c r="D784" s="88"/>
      <c r="E784" s="89"/>
      <c r="F784" s="88"/>
      <c r="G784" s="88"/>
      <c r="H784" s="88"/>
      <c r="I784" s="88"/>
      <c r="J784" s="88"/>
      <c r="K784" s="91"/>
    </row>
    <row r="785" spans="1:11" x14ac:dyDescent="0.25">
      <c r="A785" s="90"/>
      <c r="B785" s="88"/>
      <c r="C785" s="88"/>
      <c r="D785" s="88"/>
      <c r="E785" s="89"/>
      <c r="F785" s="88"/>
      <c r="G785" s="88"/>
      <c r="H785" s="88"/>
      <c r="I785" s="88"/>
      <c r="J785" s="88"/>
      <c r="K785" s="91"/>
    </row>
    <row r="786" spans="1:11" x14ac:dyDescent="0.25">
      <c r="A786" s="90"/>
      <c r="B786" s="88"/>
      <c r="C786" s="88"/>
      <c r="D786" s="88"/>
      <c r="E786" s="89"/>
      <c r="F786" s="88"/>
      <c r="G786" s="88"/>
      <c r="H786" s="88"/>
      <c r="I786" s="88"/>
      <c r="J786" s="88"/>
      <c r="K786" s="91"/>
    </row>
    <row r="787" spans="1:11" x14ac:dyDescent="0.25">
      <c r="A787" s="90"/>
      <c r="B787" s="88"/>
      <c r="C787" s="88"/>
      <c r="D787" s="88"/>
      <c r="E787" s="89"/>
      <c r="F787" s="88"/>
      <c r="G787" s="88"/>
      <c r="H787" s="88"/>
      <c r="I787" s="88"/>
      <c r="J787" s="88"/>
      <c r="K787" s="91"/>
    </row>
    <row r="788" spans="1:11" x14ac:dyDescent="0.25">
      <c r="A788" s="90"/>
      <c r="B788" s="88"/>
      <c r="C788" s="88"/>
      <c r="D788" s="88"/>
      <c r="E788" s="89"/>
      <c r="F788" s="88"/>
      <c r="G788" s="88"/>
      <c r="H788" s="88"/>
      <c r="I788" s="88"/>
      <c r="J788" s="88"/>
      <c r="K788" s="91"/>
    </row>
    <row r="789" spans="1:11" x14ac:dyDescent="0.25">
      <c r="A789" s="90"/>
      <c r="B789" s="88"/>
      <c r="C789" s="88"/>
      <c r="D789" s="88"/>
      <c r="E789" s="89"/>
      <c r="F789" s="88"/>
      <c r="G789" s="88"/>
      <c r="H789" s="88"/>
      <c r="I789" s="88"/>
      <c r="J789" s="88"/>
      <c r="K789" s="91"/>
    </row>
    <row r="790" spans="1:11" x14ac:dyDescent="0.25">
      <c r="A790" s="90"/>
      <c r="B790" s="88"/>
      <c r="C790" s="88"/>
      <c r="D790" s="88"/>
      <c r="E790" s="89"/>
      <c r="F790" s="88"/>
      <c r="G790" s="88"/>
      <c r="H790" s="88"/>
      <c r="I790" s="88"/>
      <c r="J790" s="88"/>
      <c r="K790" s="91"/>
    </row>
    <row r="791" spans="1:11" x14ac:dyDescent="0.25">
      <c r="A791" s="90"/>
      <c r="B791" s="88"/>
      <c r="C791" s="88"/>
      <c r="D791" s="88"/>
      <c r="E791" s="89"/>
      <c r="F791" s="88"/>
      <c r="G791" s="88"/>
      <c r="H791" s="88"/>
      <c r="I791" s="88"/>
      <c r="J791" s="88"/>
      <c r="K791" s="91"/>
    </row>
    <row r="792" spans="1:11" x14ac:dyDescent="0.25">
      <c r="A792" s="90"/>
      <c r="B792" s="88"/>
      <c r="C792" s="88"/>
      <c r="D792" s="88"/>
      <c r="E792" s="89"/>
      <c r="F792" s="88"/>
      <c r="G792" s="88"/>
      <c r="H792" s="88"/>
      <c r="I792" s="88"/>
      <c r="J792" s="88"/>
      <c r="K792" s="91"/>
    </row>
    <row r="793" spans="1:11" x14ac:dyDescent="0.25">
      <c r="A793" s="90"/>
      <c r="B793" s="88"/>
      <c r="C793" s="88"/>
      <c r="D793" s="88"/>
      <c r="E793" s="89"/>
      <c r="F793" s="88"/>
      <c r="G793" s="88"/>
      <c r="H793" s="88"/>
      <c r="I793" s="88"/>
      <c r="J793" s="88"/>
      <c r="K793" s="91"/>
    </row>
    <row r="794" spans="1:11" x14ac:dyDescent="0.25">
      <c r="A794" s="90"/>
      <c r="B794" s="88"/>
      <c r="C794" s="88"/>
      <c r="D794" s="88"/>
      <c r="E794" s="89"/>
      <c r="F794" s="88"/>
      <c r="G794" s="88"/>
      <c r="H794" s="88"/>
      <c r="I794" s="88"/>
      <c r="J794" s="88"/>
      <c r="K794" s="91"/>
    </row>
    <row r="795" spans="1:11" x14ac:dyDescent="0.25">
      <c r="A795" s="90"/>
      <c r="B795" s="88"/>
      <c r="C795" s="88"/>
      <c r="D795" s="88"/>
      <c r="E795" s="89"/>
      <c r="F795" s="88"/>
      <c r="G795" s="88"/>
      <c r="H795" s="88"/>
      <c r="I795" s="88"/>
      <c r="J795" s="88"/>
      <c r="K795" s="91"/>
    </row>
    <row r="796" spans="1:11" x14ac:dyDescent="0.25">
      <c r="A796" s="90"/>
      <c r="B796" s="88"/>
      <c r="C796" s="88"/>
      <c r="D796" s="88"/>
      <c r="E796" s="89"/>
      <c r="F796" s="88"/>
      <c r="G796" s="88"/>
      <c r="H796" s="88"/>
      <c r="I796" s="88"/>
      <c r="J796" s="88"/>
      <c r="K796" s="91"/>
    </row>
    <row r="797" spans="1:11" x14ac:dyDescent="0.25">
      <c r="A797" s="90"/>
      <c r="B797" s="88"/>
      <c r="C797" s="88"/>
      <c r="D797" s="88"/>
      <c r="E797" s="89"/>
      <c r="F797" s="88"/>
      <c r="G797" s="88"/>
      <c r="H797" s="88"/>
      <c r="I797" s="88"/>
      <c r="J797" s="88"/>
      <c r="K797" s="91"/>
    </row>
    <row r="798" spans="1:11" x14ac:dyDescent="0.25">
      <c r="A798" s="90"/>
      <c r="B798" s="88"/>
      <c r="C798" s="88"/>
      <c r="D798" s="88"/>
      <c r="E798" s="89"/>
      <c r="F798" s="88"/>
      <c r="G798" s="88"/>
      <c r="H798" s="88"/>
      <c r="I798" s="88"/>
      <c r="J798" s="88"/>
      <c r="K798" s="91"/>
    </row>
    <row r="799" spans="1:11" x14ac:dyDescent="0.25">
      <c r="A799" s="90"/>
      <c r="B799" s="88"/>
      <c r="C799" s="88"/>
      <c r="D799" s="88"/>
      <c r="E799" s="89"/>
      <c r="F799" s="88"/>
      <c r="G799" s="88"/>
      <c r="H799" s="88"/>
      <c r="I799" s="88"/>
      <c r="J799" s="88"/>
      <c r="K799" s="91"/>
    </row>
    <row r="800" spans="1:11" x14ac:dyDescent="0.25">
      <c r="A800" s="90"/>
      <c r="B800" s="88"/>
      <c r="C800" s="88"/>
      <c r="D800" s="88"/>
      <c r="E800" s="89"/>
      <c r="F800" s="88"/>
      <c r="G800" s="88"/>
      <c r="H800" s="88"/>
      <c r="I800" s="88"/>
      <c r="J800" s="88"/>
      <c r="K800" s="91"/>
    </row>
    <row r="801" spans="1:11" x14ac:dyDescent="0.25">
      <c r="A801" s="90"/>
      <c r="B801" s="88"/>
      <c r="C801" s="88"/>
      <c r="D801" s="88"/>
      <c r="E801" s="89"/>
      <c r="F801" s="88"/>
      <c r="G801" s="88"/>
      <c r="H801" s="88"/>
      <c r="I801" s="88"/>
      <c r="J801" s="88"/>
      <c r="K801" s="91"/>
    </row>
    <row r="802" spans="1:11" x14ac:dyDescent="0.25">
      <c r="A802" s="90"/>
      <c r="B802" s="88"/>
      <c r="C802" s="88"/>
      <c r="D802" s="88"/>
      <c r="E802" s="89"/>
      <c r="F802" s="88"/>
      <c r="G802" s="88"/>
      <c r="H802" s="88"/>
      <c r="I802" s="88"/>
      <c r="J802" s="88"/>
      <c r="K802" s="91"/>
    </row>
    <row r="803" spans="1:11" x14ac:dyDescent="0.25">
      <c r="A803" s="90"/>
      <c r="B803" s="88"/>
      <c r="C803" s="88"/>
      <c r="D803" s="88"/>
      <c r="E803" s="89"/>
      <c r="F803" s="88"/>
      <c r="G803" s="88"/>
      <c r="H803" s="88"/>
      <c r="I803" s="88"/>
      <c r="J803" s="88"/>
      <c r="K803" s="91"/>
    </row>
    <row r="804" spans="1:11" x14ac:dyDescent="0.25">
      <c r="A804" s="90"/>
      <c r="B804" s="88"/>
      <c r="C804" s="88"/>
      <c r="D804" s="88"/>
      <c r="E804" s="89"/>
      <c r="F804" s="88"/>
      <c r="G804" s="88"/>
      <c r="H804" s="88"/>
      <c r="I804" s="88"/>
      <c r="J804" s="88"/>
      <c r="K804" s="91"/>
    </row>
    <row r="805" spans="1:11" x14ac:dyDescent="0.25">
      <c r="A805" s="90"/>
      <c r="B805" s="88"/>
      <c r="C805" s="88"/>
      <c r="D805" s="88"/>
      <c r="E805" s="89"/>
      <c r="F805" s="88"/>
      <c r="G805" s="88"/>
      <c r="H805" s="88"/>
      <c r="I805" s="88"/>
      <c r="J805" s="88"/>
      <c r="K805" s="91"/>
    </row>
    <row r="806" spans="1:11" x14ac:dyDescent="0.25">
      <c r="A806" s="90"/>
      <c r="B806" s="88"/>
      <c r="C806" s="88"/>
      <c r="D806" s="88"/>
      <c r="E806" s="89"/>
      <c r="F806" s="88"/>
      <c r="G806" s="88"/>
      <c r="H806" s="88"/>
      <c r="I806" s="88"/>
      <c r="J806" s="88"/>
      <c r="K806" s="91"/>
    </row>
    <row r="807" spans="1:11" x14ac:dyDescent="0.25">
      <c r="A807" s="90"/>
      <c r="B807" s="88"/>
      <c r="C807" s="88"/>
      <c r="D807" s="88"/>
      <c r="E807" s="89"/>
      <c r="F807" s="88"/>
      <c r="G807" s="88"/>
      <c r="H807" s="88"/>
      <c r="I807" s="88"/>
      <c r="J807" s="88"/>
      <c r="K807" s="91"/>
    </row>
    <row r="808" spans="1:11" x14ac:dyDescent="0.25">
      <c r="A808" s="90"/>
      <c r="B808" s="88"/>
      <c r="C808" s="88"/>
      <c r="D808" s="88"/>
      <c r="E808" s="89"/>
      <c r="F808" s="88"/>
      <c r="G808" s="88"/>
      <c r="H808" s="88"/>
      <c r="I808" s="88"/>
      <c r="J808" s="88"/>
      <c r="K808" s="91"/>
    </row>
    <row r="809" spans="1:11" x14ac:dyDescent="0.25">
      <c r="A809" s="90"/>
      <c r="B809" s="88"/>
      <c r="C809" s="88"/>
      <c r="D809" s="88"/>
      <c r="E809" s="89"/>
      <c r="F809" s="88"/>
      <c r="G809" s="88"/>
      <c r="H809" s="88"/>
      <c r="I809" s="88"/>
      <c r="J809" s="88"/>
      <c r="K809" s="91"/>
    </row>
    <row r="810" spans="1:11" x14ac:dyDescent="0.25">
      <c r="A810" s="90"/>
      <c r="B810" s="88"/>
      <c r="C810" s="88"/>
      <c r="D810" s="88"/>
      <c r="E810" s="89"/>
      <c r="F810" s="88"/>
      <c r="G810" s="88"/>
      <c r="H810" s="88"/>
      <c r="I810" s="88"/>
      <c r="J810" s="88"/>
      <c r="K810" s="91"/>
    </row>
    <row r="811" spans="1:11" x14ac:dyDescent="0.25">
      <c r="A811" s="90"/>
      <c r="B811" s="88"/>
      <c r="C811" s="88"/>
      <c r="D811" s="88"/>
      <c r="E811" s="89"/>
      <c r="F811" s="88"/>
      <c r="G811" s="88"/>
      <c r="H811" s="88"/>
      <c r="I811" s="88"/>
      <c r="J811" s="88"/>
      <c r="K811" s="91"/>
    </row>
    <row r="812" spans="1:11" x14ac:dyDescent="0.25">
      <c r="A812" s="90"/>
      <c r="B812" s="88"/>
      <c r="C812" s="88"/>
      <c r="D812" s="88"/>
      <c r="E812" s="89"/>
      <c r="F812" s="88"/>
      <c r="G812" s="88"/>
      <c r="H812" s="88"/>
      <c r="I812" s="88"/>
      <c r="J812" s="88"/>
      <c r="K812" s="91"/>
    </row>
    <row r="813" spans="1:11" x14ac:dyDescent="0.25">
      <c r="A813" s="90"/>
      <c r="B813" s="88"/>
      <c r="C813" s="88"/>
      <c r="D813" s="88"/>
      <c r="E813" s="89"/>
      <c r="F813" s="88"/>
      <c r="G813" s="88"/>
      <c r="H813" s="88"/>
      <c r="I813" s="88"/>
      <c r="J813" s="88"/>
      <c r="K813" s="91"/>
    </row>
    <row r="814" spans="1:11" x14ac:dyDescent="0.25">
      <c r="A814" s="90"/>
      <c r="B814" s="88"/>
      <c r="C814" s="88"/>
      <c r="D814" s="88"/>
      <c r="E814" s="89"/>
      <c r="F814" s="88"/>
      <c r="G814" s="88"/>
      <c r="H814" s="88"/>
      <c r="I814" s="88"/>
      <c r="J814" s="88"/>
      <c r="K814" s="91"/>
    </row>
    <row r="815" spans="1:11" x14ac:dyDescent="0.25">
      <c r="A815" s="90"/>
      <c r="B815" s="88"/>
      <c r="C815" s="88"/>
      <c r="D815" s="88"/>
      <c r="E815" s="89"/>
      <c r="F815" s="88"/>
      <c r="G815" s="88"/>
      <c r="H815" s="88"/>
      <c r="I815" s="88"/>
      <c r="J815" s="88"/>
      <c r="K815" s="91"/>
    </row>
    <row r="816" spans="1:11" x14ac:dyDescent="0.25">
      <c r="A816" s="90"/>
      <c r="B816" s="88"/>
      <c r="C816" s="88"/>
      <c r="D816" s="88"/>
      <c r="E816" s="89"/>
      <c r="F816" s="88"/>
      <c r="G816" s="88"/>
      <c r="H816" s="88"/>
      <c r="I816" s="88"/>
      <c r="J816" s="88"/>
      <c r="K816" s="91"/>
    </row>
    <row r="817" spans="1:11" x14ac:dyDescent="0.25">
      <c r="A817" s="90"/>
      <c r="B817" s="88"/>
      <c r="C817" s="88"/>
      <c r="D817" s="88"/>
      <c r="E817" s="89"/>
      <c r="F817" s="88"/>
      <c r="G817" s="88"/>
      <c r="H817" s="88"/>
      <c r="I817" s="88"/>
      <c r="J817" s="88"/>
      <c r="K817" s="91"/>
    </row>
    <row r="818" spans="1:11" x14ac:dyDescent="0.25">
      <c r="A818" s="90"/>
      <c r="B818" s="88"/>
      <c r="C818" s="88"/>
      <c r="D818" s="88"/>
      <c r="E818" s="89"/>
      <c r="F818" s="88"/>
      <c r="G818" s="88"/>
      <c r="H818" s="88"/>
      <c r="I818" s="88"/>
      <c r="J818" s="88"/>
      <c r="K818" s="91"/>
    </row>
    <row r="819" spans="1:11" x14ac:dyDescent="0.25">
      <c r="A819" s="90"/>
      <c r="B819" s="88"/>
      <c r="C819" s="88"/>
      <c r="D819" s="88"/>
      <c r="E819" s="89"/>
      <c r="F819" s="88"/>
      <c r="G819" s="88"/>
      <c r="H819" s="88"/>
      <c r="I819" s="88"/>
      <c r="J819" s="88"/>
      <c r="K819" s="91"/>
    </row>
    <row r="820" spans="1:11" x14ac:dyDescent="0.25">
      <c r="A820" s="90"/>
      <c r="B820" s="88"/>
      <c r="C820" s="88"/>
      <c r="D820" s="88"/>
      <c r="E820" s="89"/>
      <c r="F820" s="88"/>
      <c r="G820" s="88"/>
      <c r="H820" s="88"/>
      <c r="I820" s="88"/>
      <c r="J820" s="88"/>
      <c r="K820" s="91"/>
    </row>
    <row r="821" spans="1:11" x14ac:dyDescent="0.25">
      <c r="A821" s="90"/>
      <c r="B821" s="88"/>
      <c r="C821" s="88"/>
      <c r="D821" s="88"/>
      <c r="E821" s="89"/>
      <c r="F821" s="88"/>
      <c r="G821" s="88"/>
      <c r="H821" s="88"/>
      <c r="I821" s="88"/>
      <c r="J821" s="88"/>
      <c r="K821" s="91"/>
    </row>
    <row r="822" spans="1:11" x14ac:dyDescent="0.25">
      <c r="A822" s="90"/>
      <c r="B822" s="88"/>
      <c r="C822" s="88"/>
      <c r="D822" s="88"/>
      <c r="E822" s="89"/>
      <c r="F822" s="88"/>
      <c r="G822" s="88"/>
      <c r="H822" s="88"/>
      <c r="I822" s="88"/>
      <c r="J822" s="88"/>
      <c r="K822" s="91"/>
    </row>
    <row r="823" spans="1:11" x14ac:dyDescent="0.25">
      <c r="A823" s="90"/>
      <c r="B823" s="88"/>
      <c r="C823" s="88"/>
      <c r="D823" s="88"/>
      <c r="E823" s="89"/>
      <c r="F823" s="88"/>
      <c r="G823" s="88"/>
      <c r="H823" s="88"/>
      <c r="I823" s="88"/>
      <c r="J823" s="88"/>
      <c r="K823" s="91"/>
    </row>
    <row r="824" spans="1:11" x14ac:dyDescent="0.25">
      <c r="A824" s="90"/>
      <c r="B824" s="88"/>
      <c r="C824" s="88"/>
      <c r="D824" s="88"/>
      <c r="E824" s="89"/>
      <c r="F824" s="88"/>
      <c r="G824" s="88"/>
      <c r="H824" s="88"/>
      <c r="I824" s="88"/>
      <c r="J824" s="88"/>
      <c r="K824" s="91"/>
    </row>
    <row r="825" spans="1:11" x14ac:dyDescent="0.25">
      <c r="A825" s="90"/>
      <c r="B825" s="88"/>
      <c r="C825" s="88"/>
      <c r="D825" s="88"/>
      <c r="E825" s="89"/>
      <c r="F825" s="88"/>
      <c r="G825" s="88"/>
      <c r="H825" s="88"/>
      <c r="I825" s="88"/>
      <c r="J825" s="88"/>
      <c r="K825" s="91"/>
    </row>
    <row r="826" spans="1:11" x14ac:dyDescent="0.25">
      <c r="A826" s="90"/>
      <c r="B826" s="88"/>
      <c r="C826" s="88"/>
      <c r="D826" s="88"/>
      <c r="E826" s="89"/>
      <c r="F826" s="88"/>
      <c r="G826" s="88"/>
      <c r="H826" s="88"/>
      <c r="I826" s="88"/>
      <c r="J826" s="88"/>
      <c r="K826" s="91"/>
    </row>
    <row r="827" spans="1:11" x14ac:dyDescent="0.25">
      <c r="A827" s="90"/>
      <c r="B827" s="88"/>
      <c r="C827" s="88"/>
      <c r="D827" s="88"/>
      <c r="E827" s="89"/>
      <c r="F827" s="88"/>
      <c r="G827" s="88"/>
      <c r="H827" s="88"/>
      <c r="I827" s="88"/>
      <c r="J827" s="88"/>
      <c r="K827" s="91"/>
    </row>
    <row r="828" spans="1:11" x14ac:dyDescent="0.25">
      <c r="A828" s="90"/>
      <c r="B828" s="88"/>
      <c r="C828" s="88"/>
      <c r="D828" s="88"/>
      <c r="E828" s="89"/>
      <c r="F828" s="88"/>
      <c r="G828" s="88"/>
      <c r="H828" s="88"/>
      <c r="I828" s="88"/>
      <c r="J828" s="88"/>
      <c r="K828" s="91"/>
    </row>
    <row r="829" spans="1:11" x14ac:dyDescent="0.25">
      <c r="A829" s="90"/>
      <c r="B829" s="88"/>
      <c r="C829" s="88"/>
      <c r="D829" s="88"/>
      <c r="E829" s="89"/>
      <c r="F829" s="88"/>
      <c r="G829" s="88"/>
      <c r="H829" s="88"/>
      <c r="I829" s="88"/>
      <c r="J829" s="88"/>
      <c r="K829" s="91"/>
    </row>
    <row r="830" spans="1:11" x14ac:dyDescent="0.25">
      <c r="A830" s="90"/>
      <c r="B830" s="88"/>
      <c r="C830" s="88"/>
      <c r="D830" s="88"/>
      <c r="E830" s="89"/>
      <c r="F830" s="88"/>
      <c r="G830" s="88"/>
      <c r="H830" s="88"/>
      <c r="I830" s="88"/>
      <c r="J830" s="88"/>
      <c r="K830" s="91"/>
    </row>
    <row r="831" spans="1:11" x14ac:dyDescent="0.25">
      <c r="A831" s="90"/>
      <c r="B831" s="88"/>
      <c r="C831" s="88"/>
      <c r="D831" s="88"/>
      <c r="E831" s="89"/>
      <c r="F831" s="88"/>
      <c r="G831" s="88"/>
      <c r="H831" s="88"/>
      <c r="I831" s="88"/>
      <c r="J831" s="88"/>
      <c r="K831" s="91"/>
    </row>
    <row r="832" spans="1:11" x14ac:dyDescent="0.25">
      <c r="A832" s="90"/>
      <c r="B832" s="88"/>
      <c r="C832" s="88"/>
      <c r="D832" s="88"/>
      <c r="E832" s="89"/>
      <c r="F832" s="88"/>
      <c r="G832" s="88"/>
      <c r="H832" s="88"/>
      <c r="I832" s="88"/>
      <c r="J832" s="88"/>
      <c r="K832" s="91"/>
    </row>
    <row r="833" spans="1:11" x14ac:dyDescent="0.25">
      <c r="A833" s="90"/>
      <c r="B833" s="88"/>
      <c r="C833" s="88"/>
      <c r="D833" s="88"/>
      <c r="E833" s="89"/>
      <c r="F833" s="88"/>
      <c r="G833" s="88"/>
      <c r="H833" s="88"/>
      <c r="I833" s="88"/>
      <c r="J833" s="88"/>
      <c r="K833" s="91"/>
    </row>
    <row r="834" spans="1:11" x14ac:dyDescent="0.25">
      <c r="A834" s="90"/>
      <c r="B834" s="88"/>
      <c r="C834" s="88"/>
      <c r="D834" s="88"/>
      <c r="E834" s="89"/>
      <c r="F834" s="88"/>
      <c r="G834" s="88"/>
      <c r="H834" s="88"/>
      <c r="I834" s="88"/>
      <c r="J834" s="88"/>
      <c r="K834" s="91"/>
    </row>
    <row r="835" spans="1:11" x14ac:dyDescent="0.25">
      <c r="A835" s="90"/>
      <c r="B835" s="88"/>
      <c r="C835" s="88"/>
      <c r="D835" s="88"/>
      <c r="E835" s="89"/>
      <c r="F835" s="88"/>
      <c r="G835" s="88"/>
      <c r="H835" s="88"/>
      <c r="I835" s="88"/>
      <c r="J835" s="88"/>
      <c r="K835" s="91"/>
    </row>
    <row r="836" spans="1:11" x14ac:dyDescent="0.25">
      <c r="A836" s="90"/>
      <c r="B836" s="88"/>
      <c r="C836" s="88"/>
      <c r="D836" s="88"/>
      <c r="E836" s="89"/>
      <c r="F836" s="88"/>
      <c r="G836" s="88"/>
      <c r="H836" s="88"/>
      <c r="I836" s="88"/>
      <c r="J836" s="88"/>
      <c r="K836" s="91"/>
    </row>
    <row r="837" spans="1:11" x14ac:dyDescent="0.25">
      <c r="A837" s="90"/>
      <c r="B837" s="88"/>
      <c r="C837" s="88"/>
      <c r="D837" s="88"/>
      <c r="E837" s="89"/>
      <c r="F837" s="88"/>
      <c r="G837" s="88"/>
      <c r="H837" s="88"/>
      <c r="I837" s="88"/>
      <c r="J837" s="88"/>
      <c r="K837" s="91"/>
    </row>
    <row r="838" spans="1:11" x14ac:dyDescent="0.25">
      <c r="A838" s="90"/>
      <c r="B838" s="88"/>
      <c r="C838" s="88"/>
      <c r="D838" s="88"/>
      <c r="E838" s="89"/>
      <c r="F838" s="88"/>
      <c r="G838" s="88"/>
      <c r="H838" s="88"/>
      <c r="I838" s="88"/>
      <c r="J838" s="88"/>
      <c r="K838" s="91"/>
    </row>
    <row r="839" spans="1:11" x14ac:dyDescent="0.25">
      <c r="A839" s="90"/>
      <c r="B839" s="88"/>
      <c r="C839" s="88"/>
      <c r="D839" s="88"/>
      <c r="E839" s="89"/>
      <c r="F839" s="88"/>
      <c r="G839" s="88"/>
      <c r="H839" s="88"/>
      <c r="I839" s="88"/>
      <c r="J839" s="88"/>
      <c r="K839" s="91"/>
    </row>
    <row r="840" spans="1:11" x14ac:dyDescent="0.25">
      <c r="A840" s="90"/>
      <c r="B840" s="88"/>
      <c r="C840" s="88"/>
      <c r="D840" s="88"/>
      <c r="E840" s="89"/>
      <c r="F840" s="88"/>
      <c r="G840" s="88"/>
      <c r="H840" s="88"/>
      <c r="I840" s="88"/>
      <c r="J840" s="88"/>
      <c r="K840" s="91"/>
    </row>
    <row r="841" spans="1:11" x14ac:dyDescent="0.25">
      <c r="A841" s="90"/>
      <c r="B841" s="88"/>
      <c r="C841" s="88"/>
      <c r="D841" s="88"/>
      <c r="E841" s="89"/>
      <c r="F841" s="88"/>
      <c r="G841" s="88"/>
      <c r="H841" s="88"/>
      <c r="I841" s="88"/>
      <c r="J841" s="88"/>
      <c r="K841" s="91"/>
    </row>
    <row r="842" spans="1:11" x14ac:dyDescent="0.25">
      <c r="A842" s="90"/>
      <c r="B842" s="88"/>
      <c r="C842" s="88"/>
      <c r="D842" s="88"/>
      <c r="E842" s="89"/>
      <c r="F842" s="88"/>
      <c r="G842" s="88"/>
      <c r="H842" s="88"/>
      <c r="I842" s="88"/>
      <c r="J842" s="88"/>
      <c r="K842" s="91"/>
    </row>
    <row r="843" spans="1:11" x14ac:dyDescent="0.25">
      <c r="A843" s="90"/>
      <c r="B843" s="88"/>
      <c r="C843" s="88"/>
      <c r="D843" s="88"/>
      <c r="E843" s="89"/>
      <c r="F843" s="88"/>
      <c r="G843" s="88"/>
      <c r="H843" s="88"/>
      <c r="I843" s="88"/>
      <c r="J843" s="88"/>
      <c r="K843" s="91"/>
    </row>
    <row r="844" spans="1:11" x14ac:dyDescent="0.25">
      <c r="A844" s="90"/>
      <c r="B844" s="88"/>
      <c r="C844" s="88"/>
      <c r="D844" s="88"/>
      <c r="E844" s="89"/>
      <c r="F844" s="88"/>
      <c r="G844" s="88"/>
      <c r="H844" s="88"/>
      <c r="I844" s="88"/>
      <c r="J844" s="88"/>
      <c r="K844" s="91"/>
    </row>
    <row r="845" spans="1:11" x14ac:dyDescent="0.25">
      <c r="A845" s="90"/>
      <c r="B845" s="88"/>
      <c r="C845" s="88"/>
      <c r="D845" s="88"/>
      <c r="E845" s="89"/>
      <c r="F845" s="88"/>
      <c r="G845" s="88"/>
      <c r="H845" s="88"/>
      <c r="I845" s="88"/>
      <c r="J845" s="88"/>
      <c r="K845" s="91"/>
    </row>
    <row r="846" spans="1:11" x14ac:dyDescent="0.25">
      <c r="A846" s="90"/>
      <c r="B846" s="88"/>
      <c r="C846" s="88"/>
      <c r="D846" s="88"/>
      <c r="E846" s="89"/>
      <c r="F846" s="88"/>
      <c r="G846" s="88"/>
      <c r="H846" s="88"/>
      <c r="I846" s="88"/>
      <c r="J846" s="88"/>
      <c r="K846" s="91"/>
    </row>
    <row r="847" spans="1:11" x14ac:dyDescent="0.25">
      <c r="A847" s="90"/>
      <c r="B847" s="88"/>
      <c r="C847" s="88"/>
      <c r="D847" s="88"/>
      <c r="E847" s="89"/>
      <c r="F847" s="88"/>
      <c r="G847" s="88"/>
      <c r="H847" s="88"/>
      <c r="I847" s="88"/>
      <c r="J847" s="88"/>
      <c r="K847" s="91"/>
    </row>
    <row r="848" spans="1:11" x14ac:dyDescent="0.25">
      <c r="A848" s="90"/>
      <c r="B848" s="88"/>
      <c r="C848" s="88"/>
      <c r="D848" s="88"/>
      <c r="E848" s="89"/>
      <c r="F848" s="88"/>
      <c r="G848" s="88"/>
      <c r="H848" s="88"/>
      <c r="I848" s="88"/>
      <c r="J848" s="88"/>
      <c r="K848" s="91"/>
    </row>
    <row r="849" spans="1:11" x14ac:dyDescent="0.25">
      <c r="A849" s="90"/>
      <c r="B849" s="88"/>
      <c r="C849" s="88"/>
      <c r="D849" s="88"/>
      <c r="E849" s="89"/>
      <c r="F849" s="88"/>
      <c r="G849" s="88"/>
      <c r="H849" s="88"/>
      <c r="I849" s="88"/>
      <c r="J849" s="88"/>
      <c r="K849" s="91"/>
    </row>
    <row r="850" spans="1:11" x14ac:dyDescent="0.25">
      <c r="A850" s="90"/>
      <c r="B850" s="88"/>
      <c r="C850" s="88"/>
      <c r="D850" s="88"/>
      <c r="E850" s="89"/>
      <c r="F850" s="88"/>
      <c r="G850" s="88"/>
      <c r="H850" s="88"/>
      <c r="I850" s="88"/>
      <c r="J850" s="88"/>
      <c r="K850" s="91"/>
    </row>
    <row r="851" spans="1:11" x14ac:dyDescent="0.25">
      <c r="A851" s="90"/>
      <c r="B851" s="88"/>
      <c r="C851" s="88"/>
      <c r="D851" s="88"/>
      <c r="E851" s="89"/>
      <c r="F851" s="88"/>
      <c r="G851" s="88"/>
      <c r="H851" s="88"/>
      <c r="I851" s="88"/>
      <c r="J851" s="88"/>
      <c r="K851" s="91"/>
    </row>
    <row r="852" spans="1:11" x14ac:dyDescent="0.25">
      <c r="A852" s="90"/>
      <c r="B852" s="88"/>
      <c r="C852" s="88"/>
      <c r="D852" s="88"/>
      <c r="E852" s="89"/>
      <c r="F852" s="88"/>
      <c r="G852" s="88"/>
      <c r="H852" s="88"/>
      <c r="I852" s="88"/>
      <c r="J852" s="88"/>
      <c r="K852" s="91"/>
    </row>
    <row r="853" spans="1:11" x14ac:dyDescent="0.25">
      <c r="A853" s="90"/>
      <c r="B853" s="88"/>
      <c r="C853" s="88"/>
      <c r="D853" s="88"/>
      <c r="E853" s="89"/>
      <c r="F853" s="88"/>
      <c r="G853" s="88"/>
      <c r="H853" s="88"/>
      <c r="I853" s="88"/>
      <c r="J853" s="88"/>
      <c r="K853" s="91"/>
    </row>
    <row r="854" spans="1:11" x14ac:dyDescent="0.25">
      <c r="A854" s="90"/>
      <c r="B854" s="88"/>
      <c r="C854" s="88"/>
      <c r="D854" s="88"/>
      <c r="E854" s="89"/>
      <c r="F854" s="88"/>
      <c r="G854" s="88"/>
      <c r="H854" s="88"/>
      <c r="I854" s="88"/>
      <c r="J854" s="88"/>
      <c r="K854" s="91"/>
    </row>
    <row r="855" spans="1:11" x14ac:dyDescent="0.25">
      <c r="A855" s="90"/>
      <c r="B855" s="88"/>
      <c r="C855" s="88"/>
      <c r="D855" s="88"/>
      <c r="E855" s="89"/>
      <c r="F855" s="88"/>
      <c r="G855" s="88"/>
      <c r="H855" s="88"/>
      <c r="I855" s="88"/>
      <c r="J855" s="88"/>
      <c r="K855" s="91"/>
    </row>
    <row r="856" spans="1:11" x14ac:dyDescent="0.25">
      <c r="A856" s="90"/>
      <c r="B856" s="88"/>
      <c r="C856" s="88"/>
      <c r="D856" s="88"/>
      <c r="E856" s="89"/>
      <c r="F856" s="88"/>
      <c r="G856" s="88"/>
      <c r="H856" s="88"/>
      <c r="I856" s="88"/>
      <c r="J856" s="88"/>
      <c r="K856" s="91"/>
    </row>
    <row r="857" spans="1:11" x14ac:dyDescent="0.25">
      <c r="A857" s="90"/>
      <c r="B857" s="88"/>
      <c r="C857" s="88"/>
      <c r="D857" s="88"/>
      <c r="E857" s="89"/>
      <c r="F857" s="88"/>
      <c r="G857" s="88"/>
      <c r="H857" s="88"/>
      <c r="I857" s="88"/>
      <c r="J857" s="88"/>
      <c r="K857" s="91"/>
    </row>
    <row r="858" spans="1:11" x14ac:dyDescent="0.25">
      <c r="A858" s="90"/>
      <c r="B858" s="88"/>
      <c r="C858" s="88"/>
      <c r="D858" s="88"/>
      <c r="E858" s="89"/>
      <c r="F858" s="88"/>
      <c r="G858" s="88"/>
      <c r="H858" s="88"/>
      <c r="I858" s="88"/>
      <c r="J858" s="88"/>
      <c r="K858" s="91"/>
    </row>
    <row r="859" spans="1:11" x14ac:dyDescent="0.25">
      <c r="A859" s="90"/>
      <c r="B859" s="88"/>
      <c r="C859" s="88"/>
      <c r="D859" s="88"/>
      <c r="E859" s="89"/>
      <c r="F859" s="88"/>
      <c r="G859" s="88"/>
      <c r="H859" s="88"/>
      <c r="I859" s="88"/>
      <c r="J859" s="88"/>
      <c r="K859" s="91"/>
    </row>
    <row r="860" spans="1:11" x14ac:dyDescent="0.25">
      <c r="A860" s="90"/>
      <c r="B860" s="88"/>
      <c r="C860" s="88"/>
      <c r="D860" s="88"/>
      <c r="E860" s="89"/>
      <c r="F860" s="88"/>
      <c r="G860" s="88"/>
      <c r="H860" s="88"/>
      <c r="I860" s="88"/>
      <c r="J860" s="88"/>
      <c r="K860" s="91"/>
    </row>
    <row r="861" spans="1:11" x14ac:dyDescent="0.25">
      <c r="A861" s="90"/>
      <c r="B861" s="88"/>
      <c r="C861" s="88"/>
      <c r="D861" s="88"/>
      <c r="E861" s="89"/>
      <c r="F861" s="88"/>
      <c r="G861" s="88"/>
      <c r="H861" s="88"/>
      <c r="I861" s="88"/>
      <c r="J861" s="88"/>
      <c r="K861" s="91"/>
    </row>
    <row r="862" spans="1:11" x14ac:dyDescent="0.25">
      <c r="A862" s="90"/>
      <c r="B862" s="88"/>
      <c r="C862" s="88"/>
      <c r="D862" s="88"/>
      <c r="E862" s="89"/>
      <c r="F862" s="88"/>
      <c r="G862" s="88"/>
      <c r="H862" s="88"/>
      <c r="I862" s="88"/>
      <c r="J862" s="88"/>
      <c r="K862" s="91"/>
    </row>
    <row r="863" spans="1:11" x14ac:dyDescent="0.25">
      <c r="A863" s="90"/>
      <c r="B863" s="88"/>
      <c r="C863" s="88"/>
      <c r="D863" s="88"/>
      <c r="E863" s="89"/>
      <c r="F863" s="88"/>
      <c r="G863" s="88"/>
      <c r="H863" s="88"/>
      <c r="I863" s="88"/>
      <c r="J863" s="88"/>
      <c r="K863" s="91"/>
    </row>
    <row r="864" spans="1:11" x14ac:dyDescent="0.25">
      <c r="A864" s="90"/>
      <c r="B864" s="88"/>
      <c r="C864" s="88"/>
      <c r="D864" s="88"/>
      <c r="E864" s="89"/>
      <c r="F864" s="88"/>
      <c r="G864" s="88"/>
      <c r="H864" s="88"/>
      <c r="I864" s="88"/>
      <c r="J864" s="88"/>
      <c r="K864" s="91"/>
    </row>
    <row r="865" spans="1:11" x14ac:dyDescent="0.25">
      <c r="A865" s="90"/>
      <c r="B865" s="88"/>
      <c r="C865" s="88"/>
      <c r="D865" s="88"/>
      <c r="E865" s="89"/>
      <c r="F865" s="88"/>
      <c r="G865" s="88"/>
      <c r="H865" s="88"/>
      <c r="I865" s="88"/>
      <c r="J865" s="88"/>
      <c r="K865" s="91"/>
    </row>
    <row r="866" spans="1:11" x14ac:dyDescent="0.25">
      <c r="A866" s="90"/>
      <c r="B866" s="88"/>
      <c r="C866" s="88"/>
      <c r="D866" s="88"/>
      <c r="E866" s="89"/>
      <c r="F866" s="88"/>
      <c r="G866" s="88"/>
      <c r="H866" s="88"/>
      <c r="I866" s="88"/>
      <c r="J866" s="88"/>
      <c r="K866" s="91"/>
    </row>
    <row r="867" spans="1:11" x14ac:dyDescent="0.25">
      <c r="A867" s="90"/>
      <c r="B867" s="88"/>
      <c r="C867" s="88"/>
      <c r="D867" s="88"/>
      <c r="E867" s="89"/>
      <c r="F867" s="88"/>
      <c r="G867" s="88"/>
      <c r="H867" s="88"/>
      <c r="I867" s="88"/>
      <c r="J867" s="88"/>
      <c r="K867" s="91"/>
    </row>
    <row r="868" spans="1:11" x14ac:dyDescent="0.25">
      <c r="A868" s="90"/>
      <c r="B868" s="88"/>
      <c r="C868" s="88"/>
      <c r="D868" s="88"/>
      <c r="E868" s="89"/>
      <c r="F868" s="88"/>
      <c r="G868" s="88"/>
      <c r="H868" s="88"/>
      <c r="I868" s="88"/>
      <c r="J868" s="88"/>
      <c r="K868" s="91"/>
    </row>
    <row r="869" spans="1:11" x14ac:dyDescent="0.25">
      <c r="A869" s="90"/>
      <c r="B869" s="88"/>
      <c r="C869" s="88"/>
      <c r="D869" s="88"/>
      <c r="E869" s="89"/>
      <c r="F869" s="88"/>
      <c r="G869" s="88"/>
      <c r="H869" s="88"/>
      <c r="I869" s="88"/>
      <c r="J869" s="88"/>
      <c r="K869" s="91"/>
    </row>
    <row r="870" spans="1:11" x14ac:dyDescent="0.25">
      <c r="A870" s="90"/>
      <c r="B870" s="88"/>
      <c r="C870" s="88"/>
      <c r="D870" s="88"/>
      <c r="E870" s="89"/>
      <c r="F870" s="88"/>
      <c r="G870" s="88"/>
      <c r="H870" s="88"/>
      <c r="I870" s="88"/>
      <c r="J870" s="88"/>
      <c r="K870" s="91"/>
    </row>
    <row r="871" spans="1:11" x14ac:dyDescent="0.25">
      <c r="A871" s="90"/>
      <c r="B871" s="88"/>
      <c r="C871" s="88"/>
      <c r="D871" s="88"/>
      <c r="E871" s="89"/>
      <c r="F871" s="88"/>
      <c r="G871" s="88"/>
      <c r="H871" s="88"/>
      <c r="I871" s="88"/>
      <c r="J871" s="88"/>
      <c r="K871" s="91"/>
    </row>
    <row r="872" spans="1:11" x14ac:dyDescent="0.25">
      <c r="A872" s="90"/>
      <c r="B872" s="88"/>
      <c r="C872" s="88"/>
      <c r="D872" s="88"/>
      <c r="E872" s="89"/>
      <c r="F872" s="88"/>
      <c r="G872" s="88"/>
      <c r="H872" s="88"/>
      <c r="I872" s="88"/>
      <c r="J872" s="88"/>
      <c r="K872" s="91"/>
    </row>
    <row r="873" spans="1:11" x14ac:dyDescent="0.25">
      <c r="A873" s="90"/>
      <c r="B873" s="88"/>
      <c r="C873" s="88"/>
      <c r="D873" s="88"/>
      <c r="E873" s="89"/>
      <c r="F873" s="88"/>
      <c r="G873" s="88"/>
      <c r="H873" s="88"/>
      <c r="I873" s="88"/>
      <c r="J873" s="88"/>
      <c r="K873" s="91"/>
    </row>
    <row r="874" spans="1:11" x14ac:dyDescent="0.25">
      <c r="A874" s="90"/>
      <c r="B874" s="88"/>
      <c r="C874" s="88"/>
      <c r="D874" s="88"/>
      <c r="E874" s="89"/>
      <c r="F874" s="88"/>
      <c r="G874" s="88"/>
      <c r="H874" s="88"/>
      <c r="I874" s="88"/>
      <c r="J874" s="88"/>
      <c r="K874" s="91"/>
    </row>
    <row r="875" spans="1:11" x14ac:dyDescent="0.25">
      <c r="A875" s="90"/>
      <c r="B875" s="88"/>
      <c r="C875" s="88"/>
      <c r="D875" s="88"/>
      <c r="E875" s="89"/>
      <c r="F875" s="88"/>
      <c r="G875" s="88"/>
      <c r="H875" s="88"/>
      <c r="I875" s="88"/>
      <c r="J875" s="88"/>
      <c r="K875" s="91"/>
    </row>
    <row r="876" spans="1:11" x14ac:dyDescent="0.25">
      <c r="A876" s="90"/>
      <c r="B876" s="88"/>
      <c r="C876" s="88"/>
      <c r="D876" s="88"/>
      <c r="E876" s="89"/>
      <c r="F876" s="88"/>
      <c r="G876" s="88"/>
      <c r="H876" s="88"/>
      <c r="I876" s="88"/>
      <c r="J876" s="88"/>
      <c r="K876" s="91"/>
    </row>
    <row r="877" spans="1:11" x14ac:dyDescent="0.25">
      <c r="A877" s="90"/>
      <c r="B877" s="88"/>
      <c r="C877" s="88"/>
      <c r="D877" s="88"/>
      <c r="E877" s="89"/>
      <c r="F877" s="88"/>
      <c r="G877" s="88"/>
      <c r="H877" s="88"/>
      <c r="I877" s="88"/>
      <c r="J877" s="88"/>
      <c r="K877" s="91"/>
    </row>
    <row r="878" spans="1:11" x14ac:dyDescent="0.25">
      <c r="A878" s="90"/>
      <c r="B878" s="88"/>
      <c r="C878" s="88"/>
      <c r="D878" s="88"/>
      <c r="E878" s="89"/>
      <c r="F878" s="88"/>
      <c r="G878" s="88"/>
      <c r="H878" s="88"/>
      <c r="I878" s="88"/>
      <c r="J878" s="88"/>
      <c r="K878" s="91"/>
    </row>
    <row r="879" spans="1:11" x14ac:dyDescent="0.25">
      <c r="A879" s="90"/>
      <c r="B879" s="88"/>
      <c r="C879" s="88"/>
      <c r="D879" s="88"/>
      <c r="E879" s="89"/>
      <c r="F879" s="88"/>
      <c r="G879" s="88"/>
      <c r="H879" s="88"/>
      <c r="I879" s="88"/>
      <c r="J879" s="88"/>
      <c r="K879" s="91"/>
    </row>
    <row r="880" spans="1:11" x14ac:dyDescent="0.25">
      <c r="A880" s="90"/>
      <c r="B880" s="88"/>
      <c r="C880" s="88"/>
      <c r="D880" s="88"/>
      <c r="E880" s="89"/>
      <c r="F880" s="88"/>
      <c r="G880" s="88"/>
      <c r="H880" s="88"/>
      <c r="I880" s="88"/>
      <c r="J880" s="88"/>
      <c r="K880" s="91"/>
    </row>
    <row r="881" spans="1:11" x14ac:dyDescent="0.25">
      <c r="A881" s="90"/>
      <c r="B881" s="88"/>
      <c r="C881" s="88"/>
      <c r="D881" s="88"/>
      <c r="E881" s="89"/>
      <c r="F881" s="88"/>
      <c r="G881" s="88"/>
      <c r="H881" s="88"/>
      <c r="I881" s="88"/>
      <c r="J881" s="88"/>
      <c r="K881" s="91"/>
    </row>
    <row r="882" spans="1:11" x14ac:dyDescent="0.25">
      <c r="A882" s="90"/>
      <c r="B882" s="88"/>
      <c r="C882" s="88"/>
      <c r="D882" s="88"/>
      <c r="E882" s="89"/>
      <c r="F882" s="88"/>
      <c r="G882" s="88"/>
      <c r="H882" s="88"/>
      <c r="I882" s="88"/>
      <c r="J882" s="88"/>
      <c r="K882" s="91"/>
    </row>
    <row r="883" spans="1:11" x14ac:dyDescent="0.25">
      <c r="A883" s="90"/>
      <c r="B883" s="88"/>
      <c r="C883" s="88"/>
      <c r="D883" s="88"/>
      <c r="E883" s="89"/>
      <c r="F883" s="88"/>
      <c r="G883" s="88"/>
      <c r="H883" s="88"/>
      <c r="I883" s="88"/>
      <c r="J883" s="88"/>
      <c r="K883" s="91"/>
    </row>
    <row r="884" spans="1:11" x14ac:dyDescent="0.25">
      <c r="A884" s="90"/>
      <c r="B884" s="88"/>
      <c r="C884" s="88"/>
      <c r="D884" s="88"/>
      <c r="E884" s="89"/>
      <c r="F884" s="88"/>
      <c r="G884" s="88"/>
      <c r="H884" s="88"/>
      <c r="I884" s="88"/>
      <c r="J884" s="88"/>
      <c r="K884" s="91"/>
    </row>
    <row r="885" spans="1:11" x14ac:dyDescent="0.25">
      <c r="A885" s="90"/>
      <c r="B885" s="88"/>
      <c r="C885" s="88"/>
      <c r="D885" s="88"/>
      <c r="E885" s="89"/>
      <c r="F885" s="88"/>
      <c r="G885" s="88"/>
      <c r="H885" s="88"/>
      <c r="I885" s="88"/>
      <c r="J885" s="88"/>
      <c r="K885" s="91"/>
    </row>
    <row r="886" spans="1:11" x14ac:dyDescent="0.25">
      <c r="A886" s="90"/>
      <c r="B886" s="88"/>
      <c r="C886" s="88"/>
      <c r="D886" s="88"/>
      <c r="E886" s="89"/>
      <c r="F886" s="88"/>
      <c r="G886" s="88"/>
      <c r="H886" s="88"/>
      <c r="I886" s="88"/>
      <c r="J886" s="88"/>
      <c r="K886" s="91"/>
    </row>
    <row r="887" spans="1:11" x14ac:dyDescent="0.25">
      <c r="A887" s="90"/>
      <c r="B887" s="88"/>
      <c r="C887" s="88"/>
      <c r="D887" s="88"/>
      <c r="E887" s="89"/>
      <c r="F887" s="88"/>
      <c r="G887" s="88"/>
      <c r="H887" s="88"/>
      <c r="I887" s="88"/>
      <c r="J887" s="88"/>
      <c r="K887" s="91"/>
    </row>
    <row r="888" spans="1:11" x14ac:dyDescent="0.25">
      <c r="A888" s="90"/>
      <c r="B888" s="88"/>
      <c r="C888" s="88"/>
      <c r="D888" s="88"/>
      <c r="E888" s="89"/>
      <c r="F888" s="88"/>
      <c r="G888" s="88"/>
      <c r="H888" s="88"/>
      <c r="I888" s="88"/>
      <c r="J888" s="88"/>
      <c r="K888" s="91"/>
    </row>
    <row r="889" spans="1:11" x14ac:dyDescent="0.25">
      <c r="A889" s="90"/>
      <c r="B889" s="88"/>
      <c r="C889" s="88"/>
      <c r="D889" s="88"/>
      <c r="E889" s="89"/>
      <c r="F889" s="88"/>
      <c r="G889" s="88"/>
      <c r="H889" s="88"/>
      <c r="I889" s="88"/>
      <c r="J889" s="88"/>
      <c r="K889" s="91"/>
    </row>
    <row r="890" spans="1:11" x14ac:dyDescent="0.25">
      <c r="A890" s="90"/>
      <c r="B890" s="88"/>
      <c r="C890" s="88"/>
      <c r="D890" s="88"/>
      <c r="E890" s="89"/>
      <c r="F890" s="88"/>
      <c r="G890" s="88"/>
      <c r="H890" s="88"/>
      <c r="I890" s="88"/>
      <c r="J890" s="88"/>
      <c r="K890" s="91"/>
    </row>
    <row r="891" spans="1:11" x14ac:dyDescent="0.25">
      <c r="A891" s="90"/>
      <c r="B891" s="88"/>
      <c r="C891" s="88"/>
      <c r="D891" s="88"/>
      <c r="E891" s="89"/>
      <c r="F891" s="88"/>
      <c r="G891" s="88"/>
      <c r="H891" s="88"/>
      <c r="I891" s="88"/>
      <c r="J891" s="88"/>
      <c r="K891" s="91"/>
    </row>
    <row r="892" spans="1:11" x14ac:dyDescent="0.25">
      <c r="A892" s="90"/>
      <c r="B892" s="88"/>
      <c r="C892" s="88"/>
      <c r="D892" s="88"/>
      <c r="E892" s="89"/>
      <c r="F892" s="88"/>
      <c r="G892" s="88"/>
      <c r="H892" s="88"/>
      <c r="I892" s="88"/>
      <c r="J892" s="88"/>
      <c r="K892" s="91"/>
    </row>
    <row r="893" spans="1:11" x14ac:dyDescent="0.25">
      <c r="A893" s="90"/>
      <c r="B893" s="88"/>
      <c r="C893" s="88"/>
      <c r="D893" s="88"/>
      <c r="E893" s="89"/>
      <c r="F893" s="88"/>
      <c r="G893" s="88"/>
      <c r="H893" s="88"/>
      <c r="I893" s="88"/>
      <c r="J893" s="88"/>
      <c r="K893" s="91"/>
    </row>
    <row r="894" spans="1:11" x14ac:dyDescent="0.25">
      <c r="A894" s="90"/>
      <c r="B894" s="88"/>
      <c r="C894" s="88"/>
      <c r="D894" s="88"/>
      <c r="E894" s="89"/>
      <c r="F894" s="88"/>
      <c r="G894" s="88"/>
      <c r="H894" s="88"/>
      <c r="I894" s="88"/>
      <c r="J894" s="88"/>
      <c r="K894" s="91"/>
    </row>
    <row r="895" spans="1:11" x14ac:dyDescent="0.25">
      <c r="A895" s="90"/>
      <c r="B895" s="88"/>
      <c r="C895" s="88"/>
      <c r="D895" s="88"/>
      <c r="E895" s="89"/>
      <c r="F895" s="88"/>
      <c r="G895" s="88"/>
      <c r="H895" s="88"/>
      <c r="I895" s="88"/>
      <c r="J895" s="88"/>
      <c r="K895" s="91"/>
    </row>
    <row r="896" spans="1:11" x14ac:dyDescent="0.25">
      <c r="A896" s="90"/>
      <c r="B896" s="88"/>
      <c r="C896" s="88"/>
      <c r="D896" s="88"/>
      <c r="E896" s="89"/>
      <c r="F896" s="88"/>
      <c r="G896" s="88"/>
      <c r="H896" s="88"/>
      <c r="I896" s="88"/>
      <c r="J896" s="88"/>
      <c r="K896" s="91"/>
    </row>
    <row r="897" spans="1:11" x14ac:dyDescent="0.25">
      <c r="A897" s="90"/>
      <c r="B897" s="88"/>
      <c r="C897" s="88"/>
      <c r="D897" s="88"/>
      <c r="E897" s="89"/>
      <c r="F897" s="88"/>
      <c r="G897" s="88"/>
      <c r="H897" s="88"/>
      <c r="I897" s="88"/>
      <c r="J897" s="88"/>
      <c r="K897" s="91"/>
    </row>
    <row r="898" spans="1:11" x14ac:dyDescent="0.25">
      <c r="A898" s="90"/>
      <c r="B898" s="88"/>
      <c r="C898" s="88"/>
      <c r="D898" s="88"/>
      <c r="E898" s="89"/>
      <c r="F898" s="88"/>
      <c r="G898" s="88"/>
      <c r="H898" s="88"/>
      <c r="I898" s="88"/>
      <c r="J898" s="88"/>
      <c r="K898" s="91"/>
    </row>
    <row r="899" spans="1:11" x14ac:dyDescent="0.25">
      <c r="A899" s="90"/>
      <c r="B899" s="88"/>
      <c r="C899" s="88"/>
      <c r="D899" s="88"/>
      <c r="E899" s="89"/>
      <c r="F899" s="88"/>
      <c r="G899" s="88"/>
      <c r="H899" s="88"/>
      <c r="I899" s="88"/>
      <c r="J899" s="88"/>
      <c r="K899" s="91"/>
    </row>
    <row r="900" spans="1:11" x14ac:dyDescent="0.25">
      <c r="A900" s="90"/>
      <c r="B900" s="88"/>
      <c r="C900" s="88"/>
      <c r="D900" s="88"/>
      <c r="E900" s="89"/>
      <c r="F900" s="88"/>
      <c r="G900" s="88"/>
      <c r="H900" s="88"/>
      <c r="I900" s="88"/>
      <c r="J900" s="88"/>
      <c r="K900" s="91"/>
    </row>
    <row r="901" spans="1:11" x14ac:dyDescent="0.25">
      <c r="A901" s="90"/>
      <c r="B901" s="88"/>
      <c r="C901" s="88"/>
      <c r="D901" s="88"/>
      <c r="E901" s="89"/>
      <c r="F901" s="88"/>
      <c r="G901" s="88"/>
      <c r="H901" s="88"/>
      <c r="I901" s="88"/>
      <c r="J901" s="88"/>
      <c r="K901" s="91"/>
    </row>
    <row r="902" spans="1:11" x14ac:dyDescent="0.25">
      <c r="A902" s="90"/>
      <c r="B902" s="88"/>
      <c r="C902" s="88"/>
      <c r="D902" s="88"/>
      <c r="E902" s="89"/>
      <c r="F902" s="88"/>
      <c r="G902" s="88"/>
      <c r="H902" s="88"/>
      <c r="I902" s="88"/>
      <c r="J902" s="88"/>
      <c r="K902" s="91"/>
    </row>
    <row r="903" spans="1:11" x14ac:dyDescent="0.25">
      <c r="A903" s="90"/>
      <c r="B903" s="88"/>
      <c r="C903" s="88"/>
      <c r="D903" s="88"/>
      <c r="E903" s="89"/>
      <c r="F903" s="88"/>
      <c r="G903" s="88"/>
      <c r="H903" s="88"/>
      <c r="I903" s="88"/>
      <c r="J903" s="88"/>
      <c r="K903" s="91"/>
    </row>
    <row r="904" spans="1:11" x14ac:dyDescent="0.25">
      <c r="A904" s="90"/>
      <c r="B904" s="88"/>
      <c r="C904" s="88"/>
      <c r="D904" s="88"/>
      <c r="E904" s="89"/>
      <c r="F904" s="88"/>
      <c r="G904" s="88"/>
      <c r="H904" s="88"/>
      <c r="I904" s="88"/>
      <c r="J904" s="88"/>
      <c r="K904" s="91"/>
    </row>
    <row r="905" spans="1:11" x14ac:dyDescent="0.25">
      <c r="A905" s="90"/>
      <c r="B905" s="88"/>
      <c r="C905" s="88"/>
      <c r="D905" s="88"/>
      <c r="E905" s="89"/>
      <c r="F905" s="88"/>
      <c r="G905" s="88"/>
      <c r="H905" s="88"/>
      <c r="I905" s="88"/>
      <c r="J905" s="88"/>
      <c r="K905" s="91"/>
    </row>
    <row r="906" spans="1:11" x14ac:dyDescent="0.25">
      <c r="A906" s="90"/>
      <c r="B906" s="88"/>
      <c r="C906" s="88"/>
      <c r="D906" s="88"/>
      <c r="E906" s="89"/>
      <c r="F906" s="88"/>
      <c r="G906" s="88"/>
      <c r="H906" s="88"/>
      <c r="I906" s="88"/>
      <c r="J906" s="88"/>
      <c r="K906" s="91"/>
    </row>
    <row r="907" spans="1:11" x14ac:dyDescent="0.25">
      <c r="A907" s="90"/>
      <c r="B907" s="88"/>
      <c r="C907" s="88"/>
      <c r="D907" s="88"/>
      <c r="E907" s="89"/>
      <c r="F907" s="88"/>
      <c r="G907" s="88"/>
      <c r="H907" s="88"/>
      <c r="I907" s="88"/>
      <c r="J907" s="88"/>
      <c r="K907" s="91"/>
    </row>
    <row r="908" spans="1:11" x14ac:dyDescent="0.25">
      <c r="A908" s="90"/>
      <c r="B908" s="88"/>
      <c r="C908" s="88"/>
      <c r="D908" s="88"/>
      <c r="E908" s="89"/>
      <c r="F908" s="88"/>
      <c r="G908" s="88"/>
      <c r="H908" s="88"/>
      <c r="I908" s="88"/>
      <c r="J908" s="88"/>
      <c r="K908" s="91"/>
    </row>
    <row r="909" spans="1:11" x14ac:dyDescent="0.25">
      <c r="A909" s="90"/>
      <c r="B909" s="88"/>
      <c r="C909" s="88"/>
      <c r="D909" s="88"/>
      <c r="E909" s="89"/>
      <c r="F909" s="88"/>
      <c r="G909" s="88"/>
      <c r="H909" s="88"/>
      <c r="I909" s="88"/>
      <c r="J909" s="88"/>
      <c r="K909" s="91"/>
    </row>
    <row r="910" spans="1:11" x14ac:dyDescent="0.25">
      <c r="A910" s="90"/>
      <c r="B910" s="88"/>
      <c r="C910" s="88"/>
      <c r="D910" s="88"/>
      <c r="E910" s="89"/>
      <c r="F910" s="88"/>
      <c r="G910" s="88"/>
      <c r="H910" s="88"/>
      <c r="I910" s="88"/>
      <c r="J910" s="88"/>
      <c r="K910" s="91"/>
    </row>
    <row r="911" spans="1:11" x14ac:dyDescent="0.25">
      <c r="A911" s="90"/>
      <c r="B911" s="88"/>
      <c r="C911" s="88"/>
      <c r="D911" s="88"/>
      <c r="E911" s="89"/>
      <c r="F911" s="88"/>
      <c r="G911" s="88"/>
      <c r="H911" s="88"/>
      <c r="I911" s="88"/>
      <c r="J911" s="88"/>
      <c r="K911" s="91"/>
    </row>
    <row r="912" spans="1:11" x14ac:dyDescent="0.25">
      <c r="A912" s="90"/>
      <c r="B912" s="88"/>
      <c r="C912" s="88"/>
      <c r="D912" s="88"/>
      <c r="E912" s="89"/>
      <c r="F912" s="88"/>
      <c r="G912" s="88"/>
      <c r="H912" s="88"/>
      <c r="I912" s="88"/>
      <c r="J912" s="88"/>
      <c r="K912" s="91"/>
    </row>
    <row r="913" spans="1:11" x14ac:dyDescent="0.25">
      <c r="A913" s="90"/>
      <c r="B913" s="88"/>
      <c r="C913" s="88"/>
      <c r="D913" s="88"/>
      <c r="E913" s="89"/>
      <c r="F913" s="88"/>
      <c r="G913" s="88"/>
      <c r="H913" s="88"/>
      <c r="I913" s="88"/>
      <c r="J913" s="88"/>
      <c r="K913" s="91"/>
    </row>
    <row r="914" spans="1:11" x14ac:dyDescent="0.25">
      <c r="A914" s="90"/>
      <c r="B914" s="88"/>
      <c r="C914" s="88"/>
      <c r="D914" s="88"/>
      <c r="E914" s="89"/>
      <c r="F914" s="88"/>
      <c r="G914" s="88"/>
      <c r="H914" s="88"/>
      <c r="I914" s="88"/>
      <c r="J914" s="88"/>
      <c r="K914" s="91"/>
    </row>
    <row r="915" spans="1:11" x14ac:dyDescent="0.25">
      <c r="A915" s="90"/>
      <c r="B915" s="88"/>
      <c r="C915" s="88"/>
      <c r="D915" s="88"/>
      <c r="E915" s="89"/>
      <c r="F915" s="88"/>
      <c r="G915" s="88"/>
      <c r="H915" s="88"/>
      <c r="I915" s="88"/>
      <c r="J915" s="88"/>
      <c r="K915" s="91"/>
    </row>
    <row r="916" spans="1:11" x14ac:dyDescent="0.25">
      <c r="A916" s="90"/>
      <c r="B916" s="88"/>
      <c r="C916" s="88"/>
      <c r="D916" s="88"/>
      <c r="E916" s="89"/>
      <c r="F916" s="88"/>
      <c r="G916" s="88"/>
      <c r="H916" s="88"/>
      <c r="I916" s="88"/>
      <c r="J916" s="88"/>
      <c r="K916" s="91"/>
    </row>
    <row r="917" spans="1:11" x14ac:dyDescent="0.25">
      <c r="A917" s="90"/>
      <c r="B917" s="88"/>
      <c r="C917" s="88"/>
      <c r="D917" s="88"/>
      <c r="E917" s="89"/>
      <c r="F917" s="88"/>
      <c r="G917" s="88"/>
      <c r="H917" s="88"/>
      <c r="I917" s="88"/>
      <c r="J917" s="88"/>
      <c r="K917" s="91"/>
    </row>
    <row r="918" spans="1:11" x14ac:dyDescent="0.25">
      <c r="A918" s="90"/>
      <c r="B918" s="88"/>
      <c r="C918" s="88"/>
      <c r="D918" s="88"/>
      <c r="E918" s="89"/>
      <c r="F918" s="88"/>
      <c r="G918" s="88"/>
      <c r="H918" s="88"/>
      <c r="I918" s="88"/>
      <c r="J918" s="88"/>
      <c r="K918" s="91"/>
    </row>
    <row r="919" spans="1:11" x14ac:dyDescent="0.25">
      <c r="A919" s="90"/>
      <c r="B919" s="88"/>
      <c r="C919" s="88"/>
      <c r="D919" s="88"/>
      <c r="E919" s="89"/>
      <c r="F919" s="88"/>
      <c r="G919" s="88"/>
      <c r="H919" s="88"/>
      <c r="I919" s="88"/>
      <c r="J919" s="88"/>
      <c r="K919" s="91"/>
    </row>
    <row r="920" spans="1:11" x14ac:dyDescent="0.25">
      <c r="A920" s="90"/>
      <c r="B920" s="88"/>
      <c r="C920" s="88"/>
      <c r="D920" s="88"/>
      <c r="E920" s="89"/>
      <c r="F920" s="88"/>
      <c r="G920" s="88"/>
      <c r="H920" s="88"/>
      <c r="I920" s="88"/>
      <c r="J920" s="88"/>
      <c r="K920" s="91"/>
    </row>
    <row r="921" spans="1:11" x14ac:dyDescent="0.25">
      <c r="A921" s="90"/>
      <c r="B921" s="88"/>
      <c r="C921" s="88"/>
      <c r="D921" s="88"/>
      <c r="E921" s="89"/>
      <c r="F921" s="88"/>
      <c r="G921" s="88"/>
      <c r="H921" s="88"/>
      <c r="I921" s="88"/>
      <c r="J921" s="88"/>
      <c r="K921" s="91"/>
    </row>
    <row r="922" spans="1:11" x14ac:dyDescent="0.25">
      <c r="A922" s="90"/>
      <c r="B922" s="88"/>
      <c r="C922" s="88"/>
      <c r="D922" s="88"/>
      <c r="E922" s="89"/>
      <c r="F922" s="88"/>
      <c r="G922" s="88"/>
      <c r="H922" s="88"/>
      <c r="I922" s="88"/>
      <c r="J922" s="88"/>
      <c r="K922" s="91"/>
    </row>
    <row r="923" spans="1:11" x14ac:dyDescent="0.25">
      <c r="A923" s="90"/>
      <c r="B923" s="88"/>
      <c r="C923" s="88"/>
      <c r="D923" s="88"/>
      <c r="E923" s="89"/>
      <c r="F923" s="88"/>
      <c r="G923" s="88"/>
      <c r="H923" s="88"/>
      <c r="I923" s="88"/>
      <c r="J923" s="88"/>
      <c r="K923" s="91"/>
    </row>
    <row r="924" spans="1:11" x14ac:dyDescent="0.25">
      <c r="A924" s="90"/>
      <c r="B924" s="88"/>
      <c r="C924" s="88"/>
      <c r="D924" s="88"/>
      <c r="E924" s="89"/>
      <c r="F924" s="88"/>
      <c r="G924" s="88"/>
      <c r="H924" s="88"/>
      <c r="I924" s="88"/>
      <c r="J924" s="88"/>
      <c r="K924" s="91"/>
    </row>
    <row r="925" spans="1:11" x14ac:dyDescent="0.25">
      <c r="A925" s="90"/>
      <c r="B925" s="88"/>
      <c r="C925" s="88"/>
      <c r="D925" s="88"/>
      <c r="E925" s="89"/>
      <c r="F925" s="88"/>
      <c r="G925" s="88"/>
      <c r="H925" s="88"/>
      <c r="I925" s="88"/>
      <c r="J925" s="88"/>
      <c r="K925" s="91"/>
    </row>
    <row r="926" spans="1:11" x14ac:dyDescent="0.25">
      <c r="A926" s="90"/>
      <c r="B926" s="88"/>
      <c r="C926" s="88"/>
      <c r="D926" s="88"/>
      <c r="E926" s="89"/>
      <c r="F926" s="88"/>
      <c r="G926" s="88"/>
      <c r="H926" s="88"/>
      <c r="I926" s="88"/>
      <c r="J926" s="88"/>
      <c r="K926" s="91"/>
    </row>
    <row r="927" spans="1:11" x14ac:dyDescent="0.25">
      <c r="A927" s="90"/>
      <c r="B927" s="88"/>
      <c r="C927" s="88"/>
      <c r="D927" s="88"/>
      <c r="E927" s="89"/>
      <c r="F927" s="88"/>
      <c r="G927" s="88"/>
      <c r="H927" s="88"/>
      <c r="I927" s="88"/>
      <c r="J927" s="88"/>
      <c r="K927" s="91"/>
    </row>
    <row r="928" spans="1:11" x14ac:dyDescent="0.25">
      <c r="A928" s="90"/>
      <c r="B928" s="88"/>
      <c r="C928" s="88"/>
      <c r="D928" s="88"/>
      <c r="E928" s="89"/>
      <c r="F928" s="88"/>
      <c r="G928" s="88"/>
      <c r="H928" s="88"/>
      <c r="I928" s="88"/>
      <c r="J928" s="88"/>
      <c r="K928" s="91"/>
    </row>
    <row r="929" spans="1:11" x14ac:dyDescent="0.25">
      <c r="A929" s="90"/>
      <c r="B929" s="88"/>
      <c r="C929" s="88"/>
      <c r="D929" s="88"/>
      <c r="E929" s="89"/>
      <c r="F929" s="88"/>
      <c r="G929" s="88"/>
      <c r="H929" s="88"/>
      <c r="I929" s="88"/>
      <c r="J929" s="88"/>
      <c r="K929" s="91"/>
    </row>
    <row r="930" spans="1:11" x14ac:dyDescent="0.25">
      <c r="A930" s="90"/>
      <c r="B930" s="88"/>
      <c r="C930" s="88"/>
      <c r="D930" s="88"/>
      <c r="E930" s="89"/>
      <c r="F930" s="88"/>
      <c r="G930" s="88"/>
      <c r="H930" s="88"/>
      <c r="I930" s="88"/>
      <c r="J930" s="88"/>
      <c r="K930" s="91"/>
    </row>
    <row r="931" spans="1:11" x14ac:dyDescent="0.25">
      <c r="A931" s="90"/>
      <c r="B931" s="88"/>
      <c r="C931" s="88"/>
      <c r="D931" s="88"/>
      <c r="E931" s="89"/>
      <c r="F931" s="88"/>
      <c r="G931" s="88"/>
      <c r="H931" s="88"/>
      <c r="I931" s="88"/>
      <c r="J931" s="88"/>
      <c r="K931" s="91"/>
    </row>
    <row r="932" spans="1:11" x14ac:dyDescent="0.25">
      <c r="A932" s="90"/>
      <c r="B932" s="88"/>
      <c r="C932" s="88"/>
      <c r="D932" s="88"/>
      <c r="E932" s="89"/>
      <c r="F932" s="88"/>
      <c r="G932" s="88"/>
      <c r="H932" s="88"/>
      <c r="I932" s="88"/>
      <c r="J932" s="88"/>
      <c r="K932" s="91"/>
    </row>
    <row r="933" spans="1:11" x14ac:dyDescent="0.25">
      <c r="A933" s="90"/>
      <c r="B933" s="88"/>
      <c r="C933" s="88"/>
      <c r="D933" s="88"/>
      <c r="E933" s="89"/>
      <c r="F933" s="88"/>
      <c r="G933" s="88"/>
      <c r="H933" s="88"/>
      <c r="I933" s="88"/>
      <c r="J933" s="88"/>
      <c r="K933" s="91"/>
    </row>
    <row r="934" spans="1:11" x14ac:dyDescent="0.25">
      <c r="A934" s="90"/>
      <c r="B934" s="88"/>
      <c r="C934" s="88"/>
      <c r="D934" s="88"/>
      <c r="E934" s="89"/>
      <c r="F934" s="88"/>
      <c r="G934" s="88"/>
      <c r="H934" s="88"/>
      <c r="I934" s="88"/>
      <c r="J934" s="88"/>
      <c r="K934" s="91"/>
    </row>
    <row r="935" spans="1:11" x14ac:dyDescent="0.25">
      <c r="A935" s="90"/>
      <c r="B935" s="88"/>
      <c r="C935" s="88"/>
      <c r="D935" s="88"/>
      <c r="E935" s="89"/>
      <c r="F935" s="88"/>
      <c r="G935" s="88"/>
      <c r="H935" s="88"/>
      <c r="I935" s="88"/>
      <c r="J935" s="88"/>
      <c r="K935" s="91"/>
    </row>
    <row r="936" spans="1:11" x14ac:dyDescent="0.25">
      <c r="A936" s="90"/>
      <c r="B936" s="88"/>
      <c r="C936" s="88"/>
      <c r="D936" s="88"/>
      <c r="E936" s="89"/>
      <c r="F936" s="88"/>
      <c r="G936" s="88"/>
      <c r="H936" s="88"/>
      <c r="I936" s="88"/>
      <c r="J936" s="88"/>
      <c r="K936" s="91"/>
    </row>
    <row r="937" spans="1:11" x14ac:dyDescent="0.25">
      <c r="A937" s="90"/>
      <c r="B937" s="88"/>
      <c r="C937" s="88"/>
      <c r="D937" s="88"/>
      <c r="E937" s="89"/>
      <c r="F937" s="88"/>
      <c r="G937" s="88"/>
      <c r="H937" s="88"/>
      <c r="I937" s="88"/>
      <c r="J937" s="88"/>
      <c r="K937" s="91"/>
    </row>
    <row r="938" spans="1:11" x14ac:dyDescent="0.25">
      <c r="A938" s="90"/>
      <c r="B938" s="88"/>
      <c r="C938" s="88"/>
      <c r="D938" s="88"/>
      <c r="E938" s="89"/>
      <c r="F938" s="88"/>
      <c r="G938" s="88"/>
      <c r="H938" s="88"/>
      <c r="I938" s="88"/>
      <c r="J938" s="88"/>
      <c r="K938" s="91"/>
    </row>
    <row r="939" spans="1:11" x14ac:dyDescent="0.25">
      <c r="A939" s="90"/>
      <c r="B939" s="88"/>
      <c r="C939" s="88"/>
      <c r="D939" s="88"/>
      <c r="E939" s="89"/>
      <c r="F939" s="88"/>
      <c r="G939" s="88"/>
      <c r="H939" s="88"/>
      <c r="I939" s="88"/>
      <c r="J939" s="88"/>
      <c r="K939" s="91"/>
    </row>
    <row r="940" spans="1:11" x14ac:dyDescent="0.25">
      <c r="A940" s="90"/>
      <c r="B940" s="88"/>
      <c r="C940" s="88"/>
      <c r="D940" s="88"/>
      <c r="E940" s="89"/>
      <c r="F940" s="88"/>
      <c r="G940" s="88"/>
      <c r="H940" s="88"/>
      <c r="I940" s="88"/>
      <c r="J940" s="88"/>
      <c r="K940" s="91"/>
    </row>
    <row r="941" spans="1:11" x14ac:dyDescent="0.25">
      <c r="A941" s="90"/>
      <c r="B941" s="88"/>
      <c r="C941" s="88"/>
      <c r="D941" s="88"/>
      <c r="E941" s="89"/>
      <c r="F941" s="88"/>
      <c r="G941" s="88"/>
      <c r="H941" s="88"/>
      <c r="I941" s="88"/>
      <c r="J941" s="88"/>
      <c r="K941" s="91"/>
    </row>
    <row r="942" spans="1:11" x14ac:dyDescent="0.25">
      <c r="A942" s="90"/>
      <c r="B942" s="88"/>
      <c r="C942" s="88"/>
      <c r="D942" s="88"/>
      <c r="E942" s="89"/>
      <c r="F942" s="88"/>
      <c r="G942" s="88"/>
      <c r="H942" s="88"/>
      <c r="I942" s="88"/>
      <c r="J942" s="88"/>
      <c r="K942" s="91"/>
    </row>
    <row r="943" spans="1:11" x14ac:dyDescent="0.25">
      <c r="A943" s="90"/>
      <c r="B943" s="88"/>
      <c r="C943" s="88"/>
      <c r="D943" s="88"/>
      <c r="E943" s="89"/>
      <c r="F943" s="88"/>
      <c r="G943" s="88"/>
      <c r="H943" s="88"/>
      <c r="I943" s="88"/>
      <c r="J943" s="88"/>
      <c r="K943" s="91"/>
    </row>
    <row r="944" spans="1:11" x14ac:dyDescent="0.25">
      <c r="A944" s="90"/>
      <c r="B944" s="88"/>
      <c r="C944" s="88"/>
      <c r="D944" s="88"/>
      <c r="E944" s="89"/>
      <c r="F944" s="88"/>
      <c r="G944" s="88"/>
      <c r="H944" s="88"/>
      <c r="I944" s="88"/>
      <c r="J944" s="88"/>
      <c r="K944" s="91"/>
    </row>
    <row r="945" spans="1:11" x14ac:dyDescent="0.25">
      <c r="A945" s="90"/>
      <c r="B945" s="88"/>
      <c r="C945" s="88"/>
      <c r="D945" s="88"/>
      <c r="E945" s="89"/>
      <c r="F945" s="88"/>
      <c r="G945" s="88"/>
      <c r="H945" s="88"/>
      <c r="I945" s="88"/>
      <c r="J945" s="88"/>
      <c r="K945" s="91"/>
    </row>
    <row r="946" spans="1:11" x14ac:dyDescent="0.25">
      <c r="A946" s="90"/>
      <c r="B946" s="88"/>
      <c r="C946" s="88"/>
      <c r="D946" s="88"/>
      <c r="E946" s="89"/>
      <c r="F946" s="88"/>
      <c r="G946" s="88"/>
      <c r="H946" s="88"/>
      <c r="I946" s="88"/>
      <c r="J946" s="88"/>
      <c r="K946" s="91"/>
    </row>
    <row r="947" spans="1:11" x14ac:dyDescent="0.25">
      <c r="A947" s="90"/>
      <c r="B947" s="88"/>
      <c r="C947" s="88"/>
      <c r="D947" s="88"/>
      <c r="E947" s="89"/>
      <c r="F947" s="88"/>
      <c r="G947" s="88"/>
      <c r="H947" s="88"/>
      <c r="I947" s="88"/>
      <c r="J947" s="88"/>
      <c r="K947" s="91"/>
    </row>
    <row r="948" spans="1:11" x14ac:dyDescent="0.25">
      <c r="A948" s="90"/>
      <c r="B948" s="88"/>
      <c r="C948" s="88"/>
      <c r="D948" s="88"/>
      <c r="E948" s="89"/>
      <c r="F948" s="88"/>
      <c r="G948" s="88"/>
      <c r="H948" s="88"/>
      <c r="I948" s="88"/>
      <c r="J948" s="88"/>
      <c r="K948" s="91"/>
    </row>
    <row r="949" spans="1:11" x14ac:dyDescent="0.25">
      <c r="A949" s="90"/>
      <c r="B949" s="88"/>
      <c r="C949" s="88"/>
      <c r="D949" s="88"/>
      <c r="E949" s="89"/>
      <c r="F949" s="88"/>
      <c r="G949" s="88"/>
      <c r="H949" s="88"/>
      <c r="I949" s="88"/>
      <c r="J949" s="88"/>
      <c r="K949" s="91"/>
    </row>
    <row r="950" spans="1:11" x14ac:dyDescent="0.25">
      <c r="A950" s="90"/>
      <c r="B950" s="88"/>
      <c r="C950" s="88"/>
      <c r="D950" s="88"/>
      <c r="E950" s="89"/>
      <c r="F950" s="88"/>
      <c r="G950" s="88"/>
      <c r="H950" s="88"/>
      <c r="I950" s="88"/>
      <c r="J950" s="88"/>
      <c r="K950" s="91"/>
    </row>
    <row r="951" spans="1:11" x14ac:dyDescent="0.25">
      <c r="A951" s="90"/>
      <c r="B951" s="88"/>
      <c r="C951" s="88"/>
      <c r="D951" s="88"/>
      <c r="E951" s="89"/>
      <c r="F951" s="88"/>
      <c r="G951" s="88"/>
      <c r="H951" s="88"/>
      <c r="I951" s="88"/>
      <c r="J951" s="88"/>
      <c r="K951" s="91"/>
    </row>
    <row r="952" spans="1:11" x14ac:dyDescent="0.25">
      <c r="A952" s="90"/>
      <c r="B952" s="88"/>
      <c r="C952" s="88"/>
      <c r="D952" s="88"/>
      <c r="E952" s="89"/>
      <c r="F952" s="88"/>
      <c r="G952" s="88"/>
      <c r="H952" s="88"/>
      <c r="I952" s="88"/>
      <c r="J952" s="88"/>
      <c r="K952" s="91"/>
    </row>
    <row r="953" spans="1:11" x14ac:dyDescent="0.25">
      <c r="A953" s="90"/>
      <c r="B953" s="88"/>
      <c r="C953" s="88"/>
      <c r="D953" s="88"/>
      <c r="E953" s="89"/>
      <c r="F953" s="88"/>
      <c r="G953" s="88"/>
      <c r="H953" s="88"/>
      <c r="I953" s="88"/>
      <c r="J953" s="88"/>
      <c r="K953" s="91"/>
    </row>
    <row r="954" spans="1:11" x14ac:dyDescent="0.25">
      <c r="A954" s="90"/>
      <c r="B954" s="88"/>
      <c r="C954" s="88"/>
      <c r="D954" s="88"/>
      <c r="E954" s="89"/>
      <c r="F954" s="88"/>
      <c r="G954" s="88"/>
      <c r="H954" s="88"/>
      <c r="I954" s="88"/>
      <c r="J954" s="88"/>
      <c r="K954" s="91"/>
    </row>
    <row r="955" spans="1:11" x14ac:dyDescent="0.25">
      <c r="A955" s="90"/>
      <c r="B955" s="88"/>
      <c r="C955" s="88"/>
      <c r="D955" s="88"/>
      <c r="E955" s="89"/>
      <c r="F955" s="88"/>
      <c r="G955" s="88"/>
      <c r="H955" s="88"/>
      <c r="I955" s="88"/>
      <c r="J955" s="88"/>
      <c r="K955" s="91"/>
    </row>
    <row r="956" spans="1:11" x14ac:dyDescent="0.25">
      <c r="A956" s="90"/>
      <c r="B956" s="88"/>
      <c r="C956" s="88"/>
      <c r="D956" s="88"/>
      <c r="E956" s="89"/>
      <c r="F956" s="88"/>
      <c r="G956" s="88"/>
      <c r="H956" s="88"/>
      <c r="I956" s="88"/>
      <c r="J956" s="88"/>
      <c r="K956" s="91"/>
    </row>
    <row r="957" spans="1:11" x14ac:dyDescent="0.25">
      <c r="A957" s="90"/>
      <c r="B957" s="88"/>
      <c r="C957" s="88"/>
      <c r="D957" s="88"/>
      <c r="E957" s="89"/>
      <c r="F957" s="88"/>
      <c r="G957" s="88"/>
      <c r="H957" s="88"/>
      <c r="I957" s="88"/>
      <c r="J957" s="88"/>
      <c r="K957" s="91"/>
    </row>
    <row r="958" spans="1:11" x14ac:dyDescent="0.25">
      <c r="A958" s="90"/>
      <c r="B958" s="88"/>
      <c r="C958" s="88"/>
      <c r="D958" s="88"/>
      <c r="E958" s="89"/>
      <c r="F958" s="88"/>
      <c r="G958" s="88"/>
      <c r="H958" s="88"/>
      <c r="I958" s="88"/>
      <c r="J958" s="88"/>
      <c r="K958" s="91"/>
    </row>
    <row r="959" spans="1:11" x14ac:dyDescent="0.25">
      <c r="A959" s="90"/>
      <c r="B959" s="88"/>
      <c r="C959" s="88"/>
      <c r="D959" s="88"/>
      <c r="E959" s="89"/>
      <c r="F959" s="88"/>
      <c r="G959" s="88"/>
      <c r="H959" s="88"/>
      <c r="I959" s="88"/>
      <c r="J959" s="88"/>
      <c r="K959" s="91"/>
    </row>
    <row r="960" spans="1:11" x14ac:dyDescent="0.25">
      <c r="A960" s="90"/>
      <c r="B960" s="88"/>
      <c r="C960" s="88"/>
      <c r="D960" s="88"/>
      <c r="E960" s="89"/>
      <c r="F960" s="88"/>
      <c r="G960" s="88"/>
      <c r="H960" s="88"/>
      <c r="I960" s="88"/>
      <c r="J960" s="88"/>
      <c r="K960" s="91"/>
    </row>
    <row r="961" spans="1:11" x14ac:dyDescent="0.25">
      <c r="A961" s="90"/>
      <c r="B961" s="88"/>
      <c r="C961" s="88"/>
      <c r="D961" s="88"/>
      <c r="E961" s="89"/>
      <c r="F961" s="88"/>
      <c r="G961" s="88"/>
      <c r="H961" s="88"/>
      <c r="I961" s="88"/>
      <c r="J961" s="88"/>
      <c r="K961" s="91"/>
    </row>
    <row r="962" spans="1:11" x14ac:dyDescent="0.25">
      <c r="A962" s="90"/>
      <c r="B962" s="88"/>
      <c r="C962" s="88"/>
      <c r="D962" s="88"/>
      <c r="E962" s="89"/>
      <c r="F962" s="88"/>
      <c r="G962" s="88"/>
      <c r="H962" s="88"/>
      <c r="I962" s="88"/>
      <c r="J962" s="88"/>
      <c r="K962" s="91"/>
    </row>
    <row r="963" spans="1:11" x14ac:dyDescent="0.25">
      <c r="A963" s="90"/>
      <c r="B963" s="88"/>
      <c r="C963" s="88"/>
      <c r="D963" s="88"/>
      <c r="E963" s="89"/>
      <c r="F963" s="88"/>
      <c r="G963" s="88"/>
      <c r="H963" s="88"/>
      <c r="I963" s="88"/>
      <c r="J963" s="88"/>
      <c r="K963" s="91"/>
    </row>
    <row r="964" spans="1:11" x14ac:dyDescent="0.25">
      <c r="A964" s="90"/>
      <c r="B964" s="88"/>
      <c r="C964" s="88"/>
      <c r="D964" s="88"/>
      <c r="E964" s="89"/>
      <c r="F964" s="88"/>
      <c r="G964" s="88"/>
      <c r="H964" s="88"/>
      <c r="I964" s="88"/>
      <c r="J964" s="88"/>
      <c r="K964" s="91"/>
    </row>
    <row r="965" spans="1:11" x14ac:dyDescent="0.25">
      <c r="A965" s="90"/>
      <c r="B965" s="88"/>
      <c r="C965" s="88"/>
      <c r="D965" s="88"/>
      <c r="E965" s="89"/>
      <c r="F965" s="88"/>
      <c r="G965" s="88"/>
      <c r="H965" s="88"/>
      <c r="I965" s="88"/>
      <c r="J965" s="88"/>
      <c r="K965" s="91"/>
    </row>
    <row r="966" spans="1:11" x14ac:dyDescent="0.25">
      <c r="A966" s="90"/>
      <c r="B966" s="88"/>
      <c r="C966" s="88"/>
      <c r="D966" s="88"/>
      <c r="E966" s="89"/>
      <c r="F966" s="88"/>
      <c r="G966" s="88"/>
      <c r="H966" s="88"/>
      <c r="I966" s="88"/>
      <c r="J966" s="88"/>
      <c r="K966" s="91"/>
    </row>
    <row r="967" spans="1:11" x14ac:dyDescent="0.25">
      <c r="A967" s="90"/>
      <c r="B967" s="88"/>
      <c r="C967" s="88"/>
      <c r="D967" s="88"/>
      <c r="E967" s="89"/>
      <c r="F967" s="88"/>
      <c r="G967" s="88"/>
      <c r="H967" s="88"/>
      <c r="I967" s="88"/>
      <c r="J967" s="88"/>
      <c r="K967" s="91"/>
    </row>
    <row r="968" spans="1:11" x14ac:dyDescent="0.25">
      <c r="A968" s="90"/>
      <c r="B968" s="88"/>
      <c r="C968" s="88"/>
      <c r="D968" s="88"/>
      <c r="E968" s="89"/>
      <c r="F968" s="88"/>
      <c r="G968" s="88"/>
      <c r="H968" s="88"/>
      <c r="I968" s="88"/>
      <c r="J968" s="88"/>
      <c r="K968" s="91"/>
    </row>
    <row r="969" spans="1:11" x14ac:dyDescent="0.25">
      <c r="A969" s="90"/>
      <c r="B969" s="88"/>
      <c r="C969" s="88"/>
      <c r="D969" s="88"/>
      <c r="E969" s="89"/>
      <c r="F969" s="88"/>
      <c r="G969" s="88"/>
      <c r="H969" s="88"/>
      <c r="I969" s="88"/>
      <c r="J969" s="88"/>
      <c r="K969" s="91"/>
    </row>
    <row r="970" spans="1:11" x14ac:dyDescent="0.25">
      <c r="A970" s="90"/>
      <c r="B970" s="88"/>
      <c r="C970" s="88"/>
      <c r="D970" s="88"/>
      <c r="E970" s="89"/>
      <c r="F970" s="88"/>
      <c r="G970" s="88"/>
      <c r="H970" s="88"/>
      <c r="I970" s="88"/>
      <c r="J970" s="88"/>
      <c r="K970" s="91"/>
    </row>
    <row r="971" spans="1:11" x14ac:dyDescent="0.25">
      <c r="A971" s="90"/>
      <c r="B971" s="88"/>
      <c r="C971" s="88"/>
      <c r="D971" s="88"/>
      <c r="E971" s="89"/>
      <c r="F971" s="88"/>
      <c r="G971" s="88"/>
      <c r="H971" s="88"/>
      <c r="I971" s="88"/>
      <c r="J971" s="88"/>
      <c r="K971" s="91"/>
    </row>
    <row r="972" spans="1:11" x14ac:dyDescent="0.25">
      <c r="A972" s="90"/>
      <c r="B972" s="88"/>
      <c r="C972" s="88"/>
      <c r="D972" s="88"/>
      <c r="E972" s="89"/>
      <c r="F972" s="88"/>
      <c r="G972" s="88"/>
      <c r="H972" s="88"/>
      <c r="I972" s="88"/>
      <c r="J972" s="88"/>
      <c r="K972" s="91"/>
    </row>
    <row r="973" spans="1:11" x14ac:dyDescent="0.25">
      <c r="A973" s="90"/>
      <c r="B973" s="88"/>
      <c r="C973" s="88"/>
      <c r="D973" s="88"/>
      <c r="E973" s="89"/>
      <c r="F973" s="88"/>
      <c r="G973" s="88"/>
      <c r="H973" s="88"/>
      <c r="I973" s="88"/>
      <c r="J973" s="88"/>
      <c r="K973" s="91"/>
    </row>
    <row r="974" spans="1:11" x14ac:dyDescent="0.25">
      <c r="A974" s="90"/>
      <c r="B974" s="88"/>
      <c r="C974" s="88"/>
      <c r="D974" s="88"/>
      <c r="E974" s="89"/>
      <c r="F974" s="88"/>
      <c r="G974" s="88"/>
      <c r="H974" s="88"/>
      <c r="I974" s="88"/>
      <c r="J974" s="88"/>
      <c r="K974" s="91"/>
    </row>
    <row r="975" spans="1:11" x14ac:dyDescent="0.25">
      <c r="A975" s="90"/>
      <c r="B975" s="88"/>
      <c r="C975" s="88"/>
      <c r="D975" s="88"/>
      <c r="E975" s="89"/>
      <c r="F975" s="88"/>
      <c r="G975" s="88"/>
      <c r="H975" s="88"/>
      <c r="I975" s="88"/>
      <c r="J975" s="88"/>
      <c r="K975" s="91"/>
    </row>
    <row r="976" spans="1:11" x14ac:dyDescent="0.25">
      <c r="A976" s="90"/>
      <c r="B976" s="88"/>
      <c r="C976" s="88"/>
      <c r="D976" s="88"/>
      <c r="E976" s="89"/>
      <c r="F976" s="88"/>
      <c r="G976" s="88"/>
      <c r="H976" s="88"/>
      <c r="I976" s="88"/>
      <c r="J976" s="88"/>
      <c r="K976" s="91"/>
    </row>
    <row r="977" spans="1:11" x14ac:dyDescent="0.25">
      <c r="A977" s="90"/>
      <c r="B977" s="88"/>
      <c r="C977" s="88"/>
      <c r="D977" s="88"/>
      <c r="E977" s="89"/>
      <c r="F977" s="88"/>
      <c r="G977" s="88"/>
      <c r="H977" s="88"/>
      <c r="I977" s="88"/>
      <c r="J977" s="88"/>
      <c r="K977" s="91"/>
    </row>
    <row r="978" spans="1:11" x14ac:dyDescent="0.25">
      <c r="A978" s="90"/>
      <c r="B978" s="88"/>
      <c r="C978" s="88"/>
      <c r="D978" s="88"/>
      <c r="E978" s="89"/>
      <c r="F978" s="88"/>
      <c r="G978" s="88"/>
      <c r="H978" s="88"/>
      <c r="I978" s="88"/>
      <c r="J978" s="88"/>
      <c r="K978" s="91"/>
    </row>
    <row r="979" spans="1:11" x14ac:dyDescent="0.25">
      <c r="A979" s="90"/>
      <c r="B979" s="88"/>
      <c r="C979" s="88"/>
      <c r="D979" s="88"/>
      <c r="E979" s="89"/>
      <c r="F979" s="88"/>
      <c r="G979" s="88"/>
      <c r="H979" s="88"/>
      <c r="I979" s="88"/>
      <c r="J979" s="88"/>
      <c r="K979" s="91"/>
    </row>
    <row r="980" spans="1:11" x14ac:dyDescent="0.25">
      <c r="A980" s="90"/>
      <c r="B980" s="88"/>
      <c r="C980" s="88"/>
      <c r="D980" s="88"/>
      <c r="E980" s="89"/>
      <c r="F980" s="88"/>
      <c r="G980" s="88"/>
      <c r="H980" s="88"/>
      <c r="I980" s="88"/>
      <c r="J980" s="88"/>
      <c r="K980" s="91"/>
    </row>
    <row r="981" spans="1:11" x14ac:dyDescent="0.25">
      <c r="A981" s="90"/>
      <c r="B981" s="88"/>
      <c r="C981" s="88"/>
      <c r="D981" s="88"/>
      <c r="E981" s="89"/>
      <c r="F981" s="88"/>
      <c r="G981" s="88"/>
      <c r="H981" s="88"/>
      <c r="I981" s="88"/>
      <c r="J981" s="88"/>
      <c r="K981" s="91"/>
    </row>
    <row r="982" spans="1:11" x14ac:dyDescent="0.25">
      <c r="A982" s="90"/>
      <c r="B982" s="88"/>
      <c r="C982" s="88"/>
      <c r="D982" s="88"/>
      <c r="E982" s="89"/>
      <c r="F982" s="88"/>
      <c r="G982" s="88"/>
      <c r="H982" s="88"/>
      <c r="I982" s="88"/>
      <c r="J982" s="88"/>
      <c r="K982" s="91"/>
    </row>
    <row r="983" spans="1:11" x14ac:dyDescent="0.25">
      <c r="A983" s="90"/>
      <c r="B983" s="88"/>
      <c r="C983" s="88"/>
      <c r="D983" s="88"/>
      <c r="E983" s="89"/>
      <c r="F983" s="88"/>
      <c r="G983" s="88"/>
      <c r="H983" s="88"/>
      <c r="I983" s="88"/>
      <c r="J983" s="88"/>
      <c r="K983" s="91"/>
    </row>
    <row r="984" spans="1:11" x14ac:dyDescent="0.25">
      <c r="A984" s="90"/>
      <c r="B984" s="88"/>
      <c r="C984" s="88"/>
      <c r="D984" s="88"/>
      <c r="E984" s="89"/>
      <c r="F984" s="88"/>
      <c r="G984" s="88"/>
      <c r="H984" s="88"/>
      <c r="I984" s="88"/>
      <c r="J984" s="88"/>
      <c r="K984" s="91"/>
    </row>
    <row r="985" spans="1:11" x14ac:dyDescent="0.25">
      <c r="A985" s="90"/>
      <c r="B985" s="88"/>
      <c r="C985" s="88"/>
      <c r="D985" s="88"/>
      <c r="E985" s="89"/>
      <c r="F985" s="88"/>
      <c r="G985" s="88"/>
      <c r="H985" s="88"/>
      <c r="I985" s="88"/>
      <c r="J985" s="88"/>
      <c r="K985" s="91"/>
    </row>
    <row r="986" spans="1:11" x14ac:dyDescent="0.25">
      <c r="A986" s="90"/>
      <c r="B986" s="88"/>
      <c r="C986" s="88"/>
      <c r="D986" s="88"/>
      <c r="E986" s="89"/>
      <c r="F986" s="88"/>
      <c r="G986" s="88"/>
      <c r="H986" s="88"/>
      <c r="I986" s="88"/>
      <c r="J986" s="88"/>
      <c r="K986" s="91"/>
    </row>
    <row r="987" spans="1:11" x14ac:dyDescent="0.25">
      <c r="A987" s="90"/>
      <c r="B987" s="88"/>
      <c r="C987" s="88"/>
      <c r="D987" s="88"/>
      <c r="E987" s="89"/>
      <c r="F987" s="88"/>
      <c r="G987" s="88"/>
      <c r="H987" s="88"/>
      <c r="I987" s="88"/>
      <c r="J987" s="88"/>
      <c r="K987" s="91"/>
    </row>
    <row r="988" spans="1:11" x14ac:dyDescent="0.25">
      <c r="A988" s="90"/>
      <c r="B988" s="88"/>
      <c r="C988" s="88"/>
      <c r="D988" s="88"/>
      <c r="E988" s="89"/>
      <c r="F988" s="88"/>
      <c r="G988" s="88"/>
      <c r="H988" s="88"/>
      <c r="I988" s="88"/>
      <c r="J988" s="88"/>
      <c r="K988" s="91"/>
    </row>
    <row r="989" spans="1:11" x14ac:dyDescent="0.25">
      <c r="A989" s="90"/>
      <c r="B989" s="88"/>
      <c r="C989" s="88"/>
      <c r="D989" s="88"/>
      <c r="E989" s="89"/>
      <c r="F989" s="88"/>
      <c r="G989" s="88"/>
      <c r="H989" s="88"/>
      <c r="I989" s="88"/>
      <c r="J989" s="88"/>
      <c r="K989" s="91"/>
    </row>
    <row r="990" spans="1:11" x14ac:dyDescent="0.25">
      <c r="A990" s="90"/>
      <c r="B990" s="88"/>
      <c r="C990" s="88"/>
      <c r="D990" s="88"/>
      <c r="E990" s="89"/>
      <c r="F990" s="88"/>
      <c r="G990" s="88"/>
      <c r="H990" s="88"/>
      <c r="I990" s="88"/>
      <c r="J990" s="88"/>
      <c r="K990" s="91"/>
    </row>
    <row r="991" spans="1:11" x14ac:dyDescent="0.25">
      <c r="A991" s="90"/>
      <c r="B991" s="88"/>
      <c r="C991" s="88"/>
      <c r="D991" s="88"/>
      <c r="E991" s="89"/>
      <c r="F991" s="88"/>
      <c r="G991" s="88"/>
      <c r="H991" s="88"/>
      <c r="I991" s="88"/>
      <c r="J991" s="88"/>
      <c r="K991" s="91"/>
    </row>
    <row r="992" spans="1:11" x14ac:dyDescent="0.25">
      <c r="A992" s="90"/>
      <c r="B992" s="88"/>
      <c r="C992" s="88"/>
      <c r="D992" s="88"/>
      <c r="E992" s="89"/>
      <c r="F992" s="88"/>
      <c r="G992" s="88"/>
      <c r="H992" s="88"/>
      <c r="I992" s="88"/>
      <c r="J992" s="88"/>
      <c r="K992" s="91"/>
    </row>
    <row r="993" spans="1:11" x14ac:dyDescent="0.25">
      <c r="A993" s="90"/>
      <c r="B993" s="88"/>
      <c r="C993" s="88"/>
      <c r="D993" s="88"/>
      <c r="E993" s="89"/>
      <c r="F993" s="88"/>
      <c r="G993" s="88"/>
      <c r="H993" s="88"/>
      <c r="I993" s="88"/>
      <c r="J993" s="88"/>
      <c r="K993" s="91"/>
    </row>
    <row r="994" spans="1:11" x14ac:dyDescent="0.25">
      <c r="A994" s="90"/>
      <c r="B994" s="88"/>
      <c r="C994" s="88"/>
      <c r="D994" s="88"/>
      <c r="E994" s="89"/>
      <c r="F994" s="88"/>
      <c r="G994" s="88"/>
      <c r="H994" s="88"/>
      <c r="I994" s="88"/>
      <c r="J994" s="88"/>
      <c r="K994" s="91"/>
    </row>
    <row r="995" spans="1:11" x14ac:dyDescent="0.25">
      <c r="A995" s="90"/>
      <c r="B995" s="88"/>
      <c r="C995" s="88"/>
      <c r="D995" s="88"/>
      <c r="E995" s="89"/>
      <c r="F995" s="88"/>
      <c r="G995" s="88"/>
      <c r="H995" s="88"/>
      <c r="I995" s="88"/>
      <c r="J995" s="88"/>
      <c r="K995" s="91"/>
    </row>
    <row r="996" spans="1:11" x14ac:dyDescent="0.25">
      <c r="A996" s="90"/>
      <c r="B996" s="88"/>
      <c r="C996" s="88"/>
      <c r="D996" s="88"/>
      <c r="E996" s="89"/>
      <c r="F996" s="88"/>
      <c r="G996" s="88"/>
      <c r="H996" s="88"/>
      <c r="I996" s="88"/>
      <c r="J996" s="88"/>
      <c r="K996" s="91"/>
    </row>
    <row r="997" spans="1:11" x14ac:dyDescent="0.25">
      <c r="A997" s="90"/>
      <c r="B997" s="88"/>
      <c r="C997" s="88"/>
      <c r="D997" s="88"/>
      <c r="E997" s="89"/>
      <c r="F997" s="88"/>
      <c r="G997" s="88"/>
      <c r="H997" s="88"/>
      <c r="I997" s="88"/>
      <c r="J997" s="88"/>
      <c r="K997" s="91"/>
    </row>
    <row r="998" spans="1:11" x14ac:dyDescent="0.25">
      <c r="A998" s="90"/>
      <c r="B998" s="88"/>
      <c r="C998" s="88"/>
      <c r="D998" s="88"/>
      <c r="E998" s="89"/>
      <c r="F998" s="88"/>
      <c r="G998" s="88"/>
      <c r="H998" s="88"/>
      <c r="I998" s="88"/>
      <c r="J998" s="88"/>
      <c r="K998" s="91"/>
    </row>
    <row r="999" spans="1:11" x14ac:dyDescent="0.25">
      <c r="A999" s="90"/>
      <c r="B999" s="88"/>
      <c r="C999" s="88"/>
      <c r="D999" s="88"/>
      <c r="E999" s="89"/>
      <c r="F999" s="88"/>
      <c r="G999" s="88"/>
      <c r="H999" s="88"/>
      <c r="I999" s="88"/>
      <c r="J999" s="88"/>
      <c r="K999" s="91"/>
    </row>
    <row r="1000" spans="1:11" x14ac:dyDescent="0.25">
      <c r="A1000" s="90"/>
      <c r="B1000" s="88"/>
      <c r="C1000" s="88"/>
      <c r="D1000" s="88"/>
      <c r="E1000" s="89"/>
      <c r="F1000" s="88"/>
      <c r="G1000" s="88"/>
      <c r="H1000" s="88"/>
      <c r="I1000" s="88"/>
      <c r="J1000" s="88"/>
      <c r="K1000" s="91"/>
    </row>
    <row r="1001" spans="1:11" x14ac:dyDescent="0.25">
      <c r="A1001" s="90"/>
      <c r="B1001" s="88"/>
      <c r="C1001" s="88"/>
      <c r="D1001" s="88"/>
      <c r="E1001" s="89"/>
      <c r="F1001" s="88"/>
      <c r="G1001" s="88"/>
      <c r="H1001" s="88"/>
      <c r="I1001" s="88"/>
      <c r="J1001" s="88"/>
      <c r="K1001" s="91"/>
    </row>
    <row r="1002" spans="1:11" x14ac:dyDescent="0.25">
      <c r="A1002" s="90"/>
      <c r="B1002" s="88"/>
      <c r="C1002" s="88"/>
      <c r="D1002" s="88"/>
      <c r="E1002" s="89"/>
      <c r="F1002" s="88"/>
      <c r="G1002" s="88"/>
      <c r="H1002" s="88"/>
      <c r="I1002" s="88"/>
      <c r="J1002" s="88"/>
      <c r="K1002" s="91"/>
    </row>
    <row r="1003" spans="1:11" x14ac:dyDescent="0.25">
      <c r="A1003" s="90"/>
      <c r="B1003" s="88"/>
      <c r="C1003" s="88"/>
      <c r="D1003" s="88"/>
      <c r="E1003" s="89"/>
      <c r="F1003" s="88"/>
      <c r="G1003" s="88"/>
      <c r="H1003" s="88"/>
      <c r="I1003" s="88"/>
      <c r="J1003" s="88"/>
      <c r="K1003" s="91"/>
    </row>
    <row r="1004" spans="1:11" x14ac:dyDescent="0.25">
      <c r="A1004" s="90"/>
      <c r="B1004" s="88"/>
      <c r="C1004" s="88"/>
      <c r="D1004" s="88"/>
      <c r="E1004" s="89"/>
      <c r="F1004" s="88"/>
      <c r="G1004" s="88"/>
      <c r="H1004" s="88"/>
      <c r="I1004" s="88"/>
      <c r="J1004" s="88"/>
      <c r="K1004" s="91"/>
    </row>
    <row r="1005" spans="1:11" x14ac:dyDescent="0.25">
      <c r="A1005" s="90"/>
      <c r="B1005" s="88"/>
      <c r="C1005" s="88"/>
      <c r="D1005" s="88"/>
      <c r="E1005" s="89"/>
      <c r="F1005" s="88"/>
      <c r="G1005" s="88"/>
      <c r="H1005" s="88"/>
      <c r="I1005" s="88"/>
      <c r="J1005" s="88"/>
      <c r="K1005" s="91"/>
    </row>
    <row r="1006" spans="1:11" x14ac:dyDescent="0.25">
      <c r="A1006" s="90"/>
      <c r="B1006" s="88"/>
      <c r="C1006" s="88"/>
      <c r="D1006" s="88"/>
      <c r="E1006" s="89"/>
      <c r="F1006" s="88"/>
      <c r="G1006" s="88"/>
      <c r="H1006" s="88"/>
      <c r="I1006" s="88"/>
      <c r="J1006" s="88"/>
      <c r="K1006" s="91"/>
    </row>
    <row r="1007" spans="1:11" x14ac:dyDescent="0.25">
      <c r="A1007" s="90"/>
      <c r="B1007" s="88"/>
      <c r="C1007" s="88"/>
      <c r="D1007" s="88"/>
      <c r="E1007" s="89"/>
      <c r="F1007" s="88"/>
      <c r="G1007" s="88"/>
      <c r="H1007" s="88"/>
      <c r="I1007" s="88"/>
      <c r="J1007" s="88"/>
      <c r="K1007" s="91"/>
    </row>
    <row r="1008" spans="1:11" x14ac:dyDescent="0.25">
      <c r="A1008" s="90"/>
      <c r="B1008" s="88"/>
      <c r="C1008" s="88"/>
      <c r="D1008" s="88"/>
      <c r="E1008" s="89"/>
      <c r="F1008" s="88"/>
      <c r="G1008" s="88"/>
      <c r="H1008" s="88"/>
      <c r="I1008" s="88"/>
      <c r="J1008" s="88"/>
      <c r="K1008" s="91"/>
    </row>
    <row r="1009" spans="1:11" x14ac:dyDescent="0.25">
      <c r="A1009" s="90"/>
      <c r="B1009" s="88"/>
      <c r="C1009" s="88"/>
      <c r="D1009" s="88"/>
      <c r="E1009" s="89"/>
      <c r="F1009" s="88"/>
      <c r="G1009" s="88"/>
      <c r="H1009" s="88"/>
      <c r="I1009" s="88"/>
      <c r="J1009" s="88"/>
      <c r="K1009" s="91"/>
    </row>
    <row r="1010" spans="1:11" x14ac:dyDescent="0.25">
      <c r="A1010" s="90"/>
      <c r="B1010" s="88"/>
      <c r="C1010" s="88"/>
      <c r="D1010" s="88"/>
      <c r="E1010" s="89"/>
      <c r="F1010" s="88"/>
      <c r="G1010" s="88"/>
      <c r="H1010" s="88"/>
      <c r="I1010" s="88"/>
      <c r="J1010" s="88"/>
      <c r="K1010" s="91"/>
    </row>
    <row r="1011" spans="1:11" x14ac:dyDescent="0.25">
      <c r="A1011" s="90"/>
      <c r="B1011" s="88"/>
      <c r="C1011" s="88"/>
      <c r="D1011" s="88"/>
      <c r="E1011" s="89"/>
      <c r="F1011" s="88"/>
      <c r="G1011" s="88"/>
      <c r="H1011" s="88"/>
      <c r="I1011" s="88"/>
      <c r="J1011" s="88"/>
      <c r="K1011" s="91"/>
    </row>
    <row r="1012" spans="1:11" x14ac:dyDescent="0.25">
      <c r="A1012" s="90"/>
      <c r="B1012" s="88"/>
      <c r="C1012" s="88"/>
      <c r="D1012" s="88"/>
      <c r="E1012" s="89"/>
      <c r="F1012" s="88"/>
      <c r="G1012" s="88"/>
      <c r="H1012" s="88"/>
      <c r="I1012" s="88"/>
      <c r="J1012" s="88"/>
      <c r="K1012" s="91"/>
    </row>
    <row r="1013" spans="1:11" x14ac:dyDescent="0.25">
      <c r="A1013" s="90"/>
      <c r="B1013" s="88"/>
      <c r="C1013" s="88"/>
      <c r="D1013" s="88"/>
      <c r="E1013" s="89"/>
      <c r="F1013" s="88"/>
      <c r="G1013" s="88"/>
      <c r="H1013" s="88"/>
      <c r="I1013" s="88"/>
      <c r="J1013" s="88"/>
      <c r="K1013" s="91"/>
    </row>
    <row r="1014" spans="1:11" x14ac:dyDescent="0.25">
      <c r="A1014" s="90"/>
      <c r="B1014" s="88"/>
      <c r="C1014" s="88"/>
      <c r="D1014" s="88"/>
      <c r="E1014" s="89"/>
      <c r="F1014" s="88"/>
      <c r="G1014" s="88"/>
      <c r="H1014" s="88"/>
      <c r="I1014" s="88"/>
      <c r="J1014" s="88"/>
      <c r="K1014" s="91"/>
    </row>
    <row r="1015" spans="1:11" x14ac:dyDescent="0.25">
      <c r="A1015" s="90"/>
      <c r="B1015" s="88"/>
      <c r="C1015" s="88"/>
      <c r="D1015" s="88"/>
      <c r="E1015" s="89"/>
      <c r="F1015" s="88"/>
      <c r="G1015" s="88"/>
      <c r="H1015" s="88"/>
      <c r="I1015" s="88"/>
      <c r="J1015" s="88"/>
      <c r="K1015" s="91"/>
    </row>
    <row r="1016" spans="1:11" x14ac:dyDescent="0.25">
      <c r="A1016" s="90"/>
      <c r="B1016" s="88"/>
      <c r="C1016" s="88"/>
      <c r="D1016" s="88"/>
      <c r="E1016" s="89"/>
      <c r="F1016" s="88"/>
      <c r="G1016" s="88"/>
      <c r="H1016" s="88"/>
      <c r="I1016" s="88"/>
      <c r="J1016" s="88"/>
      <c r="K1016" s="91"/>
    </row>
    <row r="1017" spans="1:11" x14ac:dyDescent="0.25">
      <c r="A1017" s="90"/>
      <c r="B1017" s="88"/>
      <c r="C1017" s="88"/>
      <c r="D1017" s="88"/>
      <c r="E1017" s="89"/>
      <c r="F1017" s="88"/>
      <c r="G1017" s="88"/>
      <c r="H1017" s="88"/>
      <c r="I1017" s="88"/>
      <c r="J1017" s="88"/>
      <c r="K1017" s="91"/>
    </row>
    <row r="1018" spans="1:11" x14ac:dyDescent="0.25">
      <c r="A1018" s="90"/>
      <c r="B1018" s="88"/>
      <c r="C1018" s="88"/>
      <c r="D1018" s="88"/>
      <c r="E1018" s="89"/>
      <c r="F1018" s="88"/>
      <c r="G1018" s="88"/>
      <c r="H1018" s="88"/>
      <c r="I1018" s="88"/>
      <c r="J1018" s="88"/>
      <c r="K1018" s="91"/>
    </row>
    <row r="1019" spans="1:11" x14ac:dyDescent="0.25">
      <c r="A1019" s="90"/>
      <c r="B1019" s="88"/>
      <c r="C1019" s="88"/>
      <c r="D1019" s="88"/>
      <c r="E1019" s="89"/>
      <c r="F1019" s="88"/>
      <c r="G1019" s="88"/>
      <c r="H1019" s="88"/>
      <c r="I1019" s="88"/>
      <c r="J1019" s="88"/>
      <c r="K1019" s="91"/>
    </row>
    <row r="1020" spans="1:11" x14ac:dyDescent="0.25">
      <c r="A1020" s="90"/>
      <c r="B1020" s="88"/>
      <c r="C1020" s="88"/>
      <c r="D1020" s="88"/>
      <c r="E1020" s="89"/>
      <c r="F1020" s="88"/>
      <c r="G1020" s="88"/>
      <c r="H1020" s="88"/>
      <c r="I1020" s="88"/>
      <c r="J1020" s="88"/>
      <c r="K1020" s="91"/>
    </row>
    <row r="1021" spans="1:11" x14ac:dyDescent="0.25">
      <c r="A1021" s="90"/>
      <c r="B1021" s="88"/>
      <c r="C1021" s="88"/>
      <c r="D1021" s="88"/>
      <c r="E1021" s="89"/>
      <c r="F1021" s="88"/>
      <c r="G1021" s="88"/>
      <c r="H1021" s="88"/>
      <c r="I1021" s="88"/>
      <c r="J1021" s="88"/>
      <c r="K1021" s="91"/>
    </row>
    <row r="1022" spans="1:11" x14ac:dyDescent="0.25">
      <c r="A1022" s="90"/>
      <c r="B1022" s="88"/>
      <c r="C1022" s="88"/>
      <c r="D1022" s="88"/>
      <c r="E1022" s="89"/>
      <c r="F1022" s="88"/>
      <c r="G1022" s="88"/>
      <c r="H1022" s="88"/>
      <c r="I1022" s="88"/>
      <c r="J1022" s="88"/>
      <c r="K1022" s="91"/>
    </row>
    <row r="1023" spans="1:11" x14ac:dyDescent="0.25">
      <c r="A1023" s="90"/>
      <c r="B1023" s="88"/>
      <c r="C1023" s="88"/>
      <c r="D1023" s="88"/>
      <c r="E1023" s="89"/>
      <c r="F1023" s="88"/>
      <c r="G1023" s="88"/>
      <c r="H1023" s="88"/>
      <c r="I1023" s="88"/>
      <c r="J1023" s="88"/>
      <c r="K1023" s="91"/>
    </row>
    <row r="1024" spans="1:11" x14ac:dyDescent="0.25">
      <c r="A1024" s="90"/>
      <c r="B1024" s="88"/>
      <c r="C1024" s="88"/>
      <c r="D1024" s="88"/>
      <c r="E1024" s="89"/>
      <c r="F1024" s="88"/>
      <c r="G1024" s="88"/>
      <c r="H1024" s="88"/>
      <c r="I1024" s="88"/>
      <c r="J1024" s="88"/>
      <c r="K1024" s="91"/>
    </row>
    <row r="1025" spans="1:11" x14ac:dyDescent="0.25">
      <c r="A1025" s="90"/>
      <c r="B1025" s="88"/>
      <c r="C1025" s="88"/>
      <c r="D1025" s="88"/>
      <c r="E1025" s="89"/>
      <c r="F1025" s="88"/>
      <c r="G1025" s="88"/>
      <c r="H1025" s="88"/>
      <c r="I1025" s="88"/>
      <c r="J1025" s="88"/>
      <c r="K1025" s="91"/>
    </row>
    <row r="1026" spans="1:11" x14ac:dyDescent="0.25">
      <c r="A1026" s="90"/>
      <c r="B1026" s="88"/>
      <c r="C1026" s="88"/>
      <c r="D1026" s="88"/>
      <c r="E1026" s="89"/>
      <c r="F1026" s="88"/>
      <c r="G1026" s="88"/>
      <c r="H1026" s="88"/>
      <c r="I1026" s="88"/>
      <c r="J1026" s="88"/>
      <c r="K1026" s="91"/>
    </row>
    <row r="1027" spans="1:11" x14ac:dyDescent="0.25">
      <c r="A1027" s="90"/>
      <c r="B1027" s="88"/>
      <c r="C1027" s="88"/>
      <c r="D1027" s="88"/>
      <c r="E1027" s="89"/>
      <c r="F1027" s="88"/>
      <c r="G1027" s="88"/>
      <c r="H1027" s="88"/>
      <c r="I1027" s="88"/>
      <c r="J1027" s="88"/>
      <c r="K1027" s="91"/>
    </row>
    <row r="1028" spans="1:11" x14ac:dyDescent="0.25">
      <c r="A1028" s="90"/>
      <c r="B1028" s="88"/>
      <c r="C1028" s="88"/>
      <c r="D1028" s="88"/>
      <c r="E1028" s="89"/>
      <c r="F1028" s="88"/>
      <c r="G1028" s="88"/>
      <c r="H1028" s="88"/>
      <c r="I1028" s="88"/>
      <c r="J1028" s="88"/>
      <c r="K1028" s="91"/>
    </row>
    <row r="1029" spans="1:11" x14ac:dyDescent="0.25">
      <c r="A1029" s="90"/>
      <c r="B1029" s="88"/>
      <c r="C1029" s="88"/>
      <c r="D1029" s="88"/>
      <c r="E1029" s="89"/>
      <c r="F1029" s="88"/>
      <c r="G1029" s="88"/>
      <c r="H1029" s="88"/>
      <c r="I1029" s="88"/>
      <c r="J1029" s="88"/>
      <c r="K1029" s="91"/>
    </row>
    <row r="1030" spans="1:11" x14ac:dyDescent="0.25">
      <c r="A1030" s="90"/>
      <c r="B1030" s="88"/>
      <c r="C1030" s="88"/>
      <c r="D1030" s="88"/>
      <c r="E1030" s="89"/>
      <c r="F1030" s="88"/>
      <c r="G1030" s="88"/>
      <c r="H1030" s="88"/>
      <c r="I1030" s="88"/>
      <c r="J1030" s="88"/>
      <c r="K1030" s="91"/>
    </row>
    <row r="1031" spans="1:11" x14ac:dyDescent="0.25">
      <c r="A1031" s="90"/>
      <c r="B1031" s="88"/>
      <c r="C1031" s="88"/>
      <c r="D1031" s="88"/>
      <c r="E1031" s="89"/>
      <c r="F1031" s="88"/>
      <c r="G1031" s="88"/>
      <c r="H1031" s="88"/>
      <c r="I1031" s="88"/>
      <c r="J1031" s="88"/>
      <c r="K1031" s="91"/>
    </row>
    <row r="1032" spans="1:11" x14ac:dyDescent="0.25">
      <c r="A1032" s="90"/>
      <c r="B1032" s="88"/>
      <c r="C1032" s="88"/>
      <c r="D1032" s="88"/>
      <c r="E1032" s="89"/>
      <c r="F1032" s="88"/>
      <c r="G1032" s="88"/>
      <c r="H1032" s="88"/>
      <c r="I1032" s="88"/>
      <c r="J1032" s="88"/>
      <c r="K1032" s="91"/>
    </row>
    <row r="1033" spans="1:11" x14ac:dyDescent="0.25">
      <c r="A1033" s="90"/>
      <c r="B1033" s="88"/>
      <c r="C1033" s="88"/>
      <c r="D1033" s="88"/>
      <c r="E1033" s="89"/>
      <c r="F1033" s="88"/>
      <c r="G1033" s="88"/>
      <c r="H1033" s="88"/>
      <c r="I1033" s="88"/>
      <c r="J1033" s="88"/>
      <c r="K1033" s="91"/>
    </row>
    <row r="1034" spans="1:11" x14ac:dyDescent="0.25">
      <c r="A1034" s="90"/>
      <c r="B1034" s="88"/>
      <c r="C1034" s="88"/>
      <c r="D1034" s="88"/>
      <c r="E1034" s="89"/>
      <c r="F1034" s="88"/>
      <c r="G1034" s="88"/>
      <c r="H1034" s="88"/>
      <c r="I1034" s="88"/>
      <c r="J1034" s="88"/>
      <c r="K1034" s="91"/>
    </row>
    <row r="1035" spans="1:11" x14ac:dyDescent="0.25">
      <c r="A1035" s="90"/>
      <c r="B1035" s="88"/>
      <c r="C1035" s="88"/>
      <c r="D1035" s="88"/>
      <c r="E1035" s="89"/>
      <c r="F1035" s="88"/>
      <c r="G1035" s="88"/>
      <c r="H1035" s="88"/>
      <c r="I1035" s="88"/>
      <c r="J1035" s="88"/>
      <c r="K1035" s="91"/>
    </row>
    <row r="1036" spans="1:11" x14ac:dyDescent="0.25">
      <c r="A1036" s="90"/>
      <c r="B1036" s="88"/>
      <c r="C1036" s="88"/>
      <c r="D1036" s="88"/>
      <c r="E1036" s="89"/>
      <c r="F1036" s="88"/>
      <c r="G1036" s="88"/>
      <c r="H1036" s="88"/>
      <c r="I1036" s="88"/>
      <c r="J1036" s="88"/>
      <c r="K1036" s="91"/>
    </row>
    <row r="1037" spans="1:11" x14ac:dyDescent="0.25">
      <c r="A1037" s="90"/>
      <c r="B1037" s="88"/>
      <c r="C1037" s="88"/>
      <c r="D1037" s="88"/>
      <c r="E1037" s="89"/>
      <c r="F1037" s="88"/>
      <c r="G1037" s="88"/>
      <c r="H1037" s="88"/>
      <c r="I1037" s="88"/>
      <c r="J1037" s="88"/>
      <c r="K1037" s="91"/>
    </row>
    <row r="1038" spans="1:11" x14ac:dyDescent="0.25">
      <c r="A1038" s="90"/>
      <c r="B1038" s="88"/>
      <c r="C1038" s="88"/>
      <c r="D1038" s="88"/>
      <c r="E1038" s="89"/>
      <c r="F1038" s="88"/>
      <c r="G1038" s="88"/>
      <c r="H1038" s="88"/>
      <c r="I1038" s="88"/>
      <c r="J1038" s="88"/>
      <c r="K1038" s="91"/>
    </row>
    <row r="1039" spans="1:11" x14ac:dyDescent="0.25">
      <c r="A1039" s="90"/>
      <c r="B1039" s="88"/>
      <c r="C1039" s="88"/>
      <c r="D1039" s="88"/>
      <c r="E1039" s="89"/>
      <c r="F1039" s="88"/>
      <c r="G1039" s="88"/>
      <c r="H1039" s="88"/>
      <c r="I1039" s="88"/>
      <c r="J1039" s="88"/>
      <c r="K1039" s="91"/>
    </row>
    <row r="1040" spans="1:11" x14ac:dyDescent="0.25">
      <c r="A1040" s="90"/>
      <c r="B1040" s="88"/>
      <c r="C1040" s="88"/>
      <c r="D1040" s="88"/>
      <c r="E1040" s="89"/>
      <c r="F1040" s="88"/>
      <c r="G1040" s="88"/>
      <c r="H1040" s="88"/>
      <c r="I1040" s="88"/>
      <c r="J1040" s="88"/>
      <c r="K1040" s="91"/>
    </row>
    <row r="1041" spans="1:11" x14ac:dyDescent="0.25">
      <c r="A1041" s="90"/>
      <c r="B1041" s="88"/>
      <c r="C1041" s="88"/>
      <c r="D1041" s="88"/>
      <c r="E1041" s="89"/>
      <c r="F1041" s="88"/>
      <c r="G1041" s="88"/>
      <c r="H1041" s="88"/>
      <c r="I1041" s="88"/>
      <c r="J1041" s="88"/>
      <c r="K1041" s="91"/>
    </row>
    <row r="1042" spans="1:11" x14ac:dyDescent="0.25">
      <c r="A1042" s="90"/>
      <c r="B1042" s="88"/>
      <c r="C1042" s="88"/>
      <c r="D1042" s="88"/>
      <c r="E1042" s="89"/>
      <c r="F1042" s="88"/>
      <c r="G1042" s="88"/>
      <c r="H1042" s="88"/>
      <c r="I1042" s="88"/>
      <c r="J1042" s="88"/>
      <c r="K1042" s="91"/>
    </row>
    <row r="1043" spans="1:11" x14ac:dyDescent="0.25">
      <c r="A1043" s="90"/>
      <c r="B1043" s="88"/>
      <c r="C1043" s="88"/>
      <c r="D1043" s="88"/>
      <c r="E1043" s="89"/>
      <c r="F1043" s="88"/>
      <c r="G1043" s="88"/>
      <c r="H1043" s="88"/>
      <c r="I1043" s="88"/>
      <c r="J1043" s="88"/>
      <c r="K1043" s="91"/>
    </row>
    <row r="1044" spans="1:11" x14ac:dyDescent="0.25">
      <c r="A1044" s="90"/>
      <c r="B1044" s="88"/>
      <c r="C1044" s="88"/>
      <c r="D1044" s="88"/>
      <c r="E1044" s="89"/>
      <c r="F1044" s="88"/>
      <c r="G1044" s="88"/>
      <c r="H1044" s="88"/>
      <c r="I1044" s="88"/>
      <c r="J1044" s="88"/>
      <c r="K1044" s="91"/>
    </row>
    <row r="1045" spans="1:11" x14ac:dyDescent="0.25">
      <c r="A1045" s="90"/>
      <c r="B1045" s="88"/>
      <c r="C1045" s="88"/>
      <c r="D1045" s="88"/>
      <c r="E1045" s="89"/>
      <c r="F1045" s="88"/>
      <c r="G1045" s="88"/>
      <c r="H1045" s="88"/>
      <c r="I1045" s="88"/>
      <c r="J1045" s="88"/>
      <c r="K1045" s="91"/>
    </row>
    <row r="1046" spans="1:11" x14ac:dyDescent="0.25">
      <c r="A1046" s="90"/>
      <c r="B1046" s="88"/>
      <c r="C1046" s="88"/>
      <c r="D1046" s="88"/>
      <c r="E1046" s="89"/>
      <c r="F1046" s="88"/>
      <c r="G1046" s="88"/>
      <c r="H1046" s="88"/>
      <c r="I1046" s="88"/>
      <c r="J1046" s="88"/>
      <c r="K1046" s="91"/>
    </row>
    <row r="1047" spans="1:11" x14ac:dyDescent="0.25">
      <c r="A1047" s="90"/>
      <c r="B1047" s="88"/>
      <c r="C1047" s="88"/>
      <c r="D1047" s="88"/>
      <c r="E1047" s="89"/>
      <c r="F1047" s="88"/>
      <c r="G1047" s="88"/>
      <c r="H1047" s="88"/>
      <c r="I1047" s="88"/>
      <c r="J1047" s="88"/>
      <c r="K1047" s="91"/>
    </row>
    <row r="1048" spans="1:11" x14ac:dyDescent="0.25">
      <c r="A1048" s="90"/>
      <c r="B1048" s="88"/>
      <c r="C1048" s="88"/>
      <c r="D1048" s="88"/>
      <c r="E1048" s="89"/>
      <c r="F1048" s="88"/>
      <c r="G1048" s="88"/>
      <c r="H1048" s="88"/>
      <c r="I1048" s="88"/>
      <c r="J1048" s="88"/>
      <c r="K1048" s="91"/>
    </row>
    <row r="1049" spans="1:11" x14ac:dyDescent="0.25">
      <c r="A1049" s="90"/>
      <c r="B1049" s="88"/>
      <c r="C1049" s="88"/>
      <c r="D1049" s="88"/>
      <c r="E1049" s="89"/>
      <c r="F1049" s="88"/>
      <c r="G1049" s="88"/>
      <c r="H1049" s="88"/>
      <c r="I1049" s="88"/>
      <c r="J1049" s="88"/>
      <c r="K1049" s="91"/>
    </row>
    <row r="1050" spans="1:11" x14ac:dyDescent="0.25">
      <c r="A1050" s="90"/>
      <c r="B1050" s="88"/>
      <c r="C1050" s="88"/>
      <c r="D1050" s="88"/>
      <c r="E1050" s="89"/>
      <c r="F1050" s="88"/>
      <c r="G1050" s="88"/>
      <c r="H1050" s="88"/>
      <c r="I1050" s="88"/>
      <c r="J1050" s="88"/>
      <c r="K1050" s="91"/>
    </row>
    <row r="1051" spans="1:11" x14ac:dyDescent="0.25">
      <c r="A1051" s="90"/>
      <c r="B1051" s="88"/>
      <c r="C1051" s="88"/>
      <c r="D1051" s="88"/>
      <c r="E1051" s="89"/>
      <c r="F1051" s="88"/>
      <c r="G1051" s="88"/>
      <c r="H1051" s="88"/>
      <c r="I1051" s="88"/>
      <c r="J1051" s="88"/>
      <c r="K1051" s="91"/>
    </row>
    <row r="1052" spans="1:11" x14ac:dyDescent="0.25">
      <c r="A1052" s="90"/>
      <c r="B1052" s="88"/>
      <c r="C1052" s="88"/>
      <c r="D1052" s="88"/>
      <c r="E1052" s="89"/>
      <c r="F1052" s="88"/>
      <c r="G1052" s="88"/>
      <c r="H1052" s="88"/>
      <c r="I1052" s="88"/>
      <c r="J1052" s="88"/>
      <c r="K1052" s="91"/>
    </row>
    <row r="1053" spans="1:11" x14ac:dyDescent="0.25">
      <c r="A1053" s="90"/>
      <c r="B1053" s="88"/>
      <c r="C1053" s="88"/>
      <c r="D1053" s="88"/>
      <c r="E1053" s="89"/>
      <c r="F1053" s="88"/>
      <c r="G1053" s="88"/>
      <c r="H1053" s="88"/>
      <c r="I1053" s="88"/>
      <c r="J1053" s="88"/>
      <c r="K1053" s="91"/>
    </row>
    <row r="1054" spans="1:11" x14ac:dyDescent="0.25">
      <c r="A1054" s="90"/>
      <c r="B1054" s="88"/>
      <c r="C1054" s="88"/>
      <c r="D1054" s="88"/>
      <c r="E1054" s="89"/>
      <c r="F1054" s="88"/>
      <c r="G1054" s="88"/>
      <c r="H1054" s="88"/>
      <c r="I1054" s="88"/>
      <c r="J1054" s="88"/>
      <c r="K1054" s="91"/>
    </row>
    <row r="1055" spans="1:11" x14ac:dyDescent="0.25">
      <c r="A1055" s="90"/>
      <c r="B1055" s="88"/>
      <c r="C1055" s="88"/>
      <c r="D1055" s="88"/>
      <c r="E1055" s="89"/>
      <c r="F1055" s="88"/>
      <c r="G1055" s="88"/>
      <c r="H1055" s="88"/>
      <c r="I1055" s="88"/>
      <c r="J1055" s="88"/>
      <c r="K1055" s="91"/>
    </row>
    <row r="1056" spans="1:11" x14ac:dyDescent="0.25">
      <c r="A1056" s="90"/>
      <c r="B1056" s="88"/>
      <c r="C1056" s="88"/>
      <c r="D1056" s="88"/>
      <c r="E1056" s="89"/>
      <c r="F1056" s="88"/>
      <c r="G1056" s="88"/>
      <c r="H1056" s="88"/>
      <c r="I1056" s="88"/>
      <c r="J1056" s="88"/>
      <c r="K1056" s="91"/>
    </row>
    <row r="1057" spans="1:11" x14ac:dyDescent="0.25">
      <c r="A1057" s="90"/>
      <c r="B1057" s="88"/>
      <c r="C1057" s="88"/>
      <c r="D1057" s="88"/>
      <c r="E1057" s="89"/>
      <c r="F1057" s="88"/>
      <c r="G1057" s="88"/>
      <c r="H1057" s="88"/>
      <c r="I1057" s="88"/>
      <c r="J1057" s="88"/>
      <c r="K1057" s="91"/>
    </row>
    <row r="1058" spans="1:11" x14ac:dyDescent="0.25">
      <c r="A1058" s="90"/>
      <c r="B1058" s="88"/>
      <c r="C1058" s="88"/>
      <c r="D1058" s="88"/>
      <c r="E1058" s="89"/>
      <c r="F1058" s="88"/>
      <c r="G1058" s="88"/>
      <c r="H1058" s="88"/>
      <c r="I1058" s="88"/>
      <c r="J1058" s="88"/>
      <c r="K1058" s="91"/>
    </row>
    <row r="1059" spans="1:11" x14ac:dyDescent="0.25">
      <c r="A1059" s="90"/>
      <c r="B1059" s="88"/>
      <c r="C1059" s="88"/>
      <c r="D1059" s="88"/>
      <c r="E1059" s="89"/>
      <c r="F1059" s="88"/>
      <c r="G1059" s="88"/>
      <c r="H1059" s="88"/>
      <c r="I1059" s="88"/>
      <c r="J1059" s="88"/>
      <c r="K1059" s="91"/>
    </row>
    <row r="1060" spans="1:11" x14ac:dyDescent="0.25">
      <c r="A1060" s="90"/>
      <c r="B1060" s="88"/>
      <c r="C1060" s="88"/>
      <c r="D1060" s="88"/>
      <c r="E1060" s="89"/>
      <c r="F1060" s="88"/>
      <c r="G1060" s="88"/>
      <c r="H1060" s="88"/>
      <c r="I1060" s="88"/>
      <c r="J1060" s="88"/>
      <c r="K1060" s="91"/>
    </row>
    <row r="1061" spans="1:11" x14ac:dyDescent="0.25">
      <c r="A1061" s="90"/>
      <c r="B1061" s="88"/>
      <c r="C1061" s="88"/>
      <c r="D1061" s="88"/>
      <c r="E1061" s="89"/>
      <c r="F1061" s="88"/>
      <c r="G1061" s="88"/>
      <c r="H1061" s="88"/>
      <c r="I1061" s="88"/>
      <c r="J1061" s="88"/>
      <c r="K1061" s="91"/>
    </row>
    <row r="1062" spans="1:11" x14ac:dyDescent="0.25">
      <c r="A1062" s="90"/>
      <c r="B1062" s="88"/>
      <c r="C1062" s="88"/>
      <c r="D1062" s="88"/>
      <c r="E1062" s="89"/>
      <c r="F1062" s="88"/>
      <c r="G1062" s="88"/>
      <c r="H1062" s="88"/>
      <c r="I1062" s="88"/>
      <c r="J1062" s="88"/>
      <c r="K1062" s="91"/>
    </row>
    <row r="1063" spans="1:11" x14ac:dyDescent="0.25">
      <c r="A1063" s="90"/>
      <c r="B1063" s="88"/>
      <c r="C1063" s="88"/>
      <c r="D1063" s="88"/>
      <c r="E1063" s="89"/>
      <c r="F1063" s="88"/>
      <c r="G1063" s="88"/>
      <c r="H1063" s="88"/>
      <c r="I1063" s="88"/>
      <c r="J1063" s="88"/>
      <c r="K1063" s="91"/>
    </row>
    <row r="1064" spans="1:11" x14ac:dyDescent="0.25">
      <c r="A1064" s="90"/>
      <c r="B1064" s="88"/>
      <c r="C1064" s="88"/>
      <c r="D1064" s="88"/>
      <c r="E1064" s="89"/>
      <c r="F1064" s="88"/>
      <c r="G1064" s="88"/>
      <c r="H1064" s="88"/>
      <c r="I1064" s="88"/>
      <c r="J1064" s="88"/>
      <c r="K1064" s="91"/>
    </row>
    <row r="1065" spans="1:11" x14ac:dyDescent="0.25">
      <c r="A1065" s="90"/>
      <c r="B1065" s="88"/>
      <c r="C1065" s="88"/>
      <c r="D1065" s="88"/>
      <c r="E1065" s="89"/>
      <c r="F1065" s="88"/>
      <c r="G1065" s="88"/>
      <c r="H1065" s="88"/>
      <c r="I1065" s="88"/>
      <c r="J1065" s="88"/>
      <c r="K1065" s="91"/>
    </row>
    <row r="1066" spans="1:11" x14ac:dyDescent="0.25">
      <c r="A1066" s="90"/>
      <c r="B1066" s="88"/>
      <c r="C1066" s="88"/>
      <c r="D1066" s="88"/>
      <c r="E1066" s="89"/>
      <c r="F1066" s="88"/>
      <c r="G1066" s="88"/>
      <c r="H1066" s="88"/>
      <c r="I1066" s="88"/>
      <c r="J1066" s="88"/>
      <c r="K1066" s="91"/>
    </row>
    <row r="1067" spans="1:11" x14ac:dyDescent="0.25">
      <c r="A1067" s="90"/>
      <c r="B1067" s="88"/>
      <c r="C1067" s="88"/>
      <c r="D1067" s="88"/>
      <c r="E1067" s="89"/>
      <c r="F1067" s="88"/>
      <c r="G1067" s="88"/>
      <c r="H1067" s="88"/>
      <c r="I1067" s="88"/>
      <c r="J1067" s="88"/>
      <c r="K1067" s="91"/>
    </row>
    <row r="1068" spans="1:11" x14ac:dyDescent="0.25">
      <c r="A1068" s="90"/>
      <c r="B1068" s="88"/>
      <c r="C1068" s="88"/>
      <c r="D1068" s="88"/>
      <c r="E1068" s="89"/>
      <c r="F1068" s="88"/>
      <c r="G1068" s="88"/>
      <c r="H1068" s="88"/>
      <c r="I1068" s="88"/>
      <c r="J1068" s="88"/>
      <c r="K1068" s="91"/>
    </row>
    <row r="1069" spans="1:11" x14ac:dyDescent="0.25">
      <c r="A1069" s="90"/>
      <c r="B1069" s="88"/>
      <c r="C1069" s="88"/>
      <c r="D1069" s="88"/>
      <c r="E1069" s="89"/>
      <c r="F1069" s="88"/>
      <c r="G1069" s="88"/>
      <c r="H1069" s="88"/>
      <c r="I1069" s="88"/>
      <c r="J1069" s="88"/>
      <c r="K1069" s="91"/>
    </row>
    <row r="1070" spans="1:11" x14ac:dyDescent="0.25">
      <c r="A1070" s="90"/>
      <c r="B1070" s="88"/>
      <c r="C1070" s="88"/>
      <c r="D1070" s="88"/>
      <c r="E1070" s="89"/>
      <c r="F1070" s="88"/>
      <c r="G1070" s="88"/>
      <c r="H1070" s="88"/>
      <c r="I1070" s="88"/>
      <c r="J1070" s="88"/>
      <c r="K1070" s="91"/>
    </row>
  </sheetData>
  <sheetProtection selectLockedCells="1"/>
  <mergeCells count="8">
    <mergeCell ref="J2:J4"/>
    <mergeCell ref="K2:K4"/>
    <mergeCell ref="A2:B2"/>
    <mergeCell ref="A4:B4"/>
    <mergeCell ref="C2:F2"/>
    <mergeCell ref="C3:F3"/>
    <mergeCell ref="C4:F4"/>
    <mergeCell ref="A3:B3"/>
  </mergeCells>
  <conditionalFormatting sqref="C2:F4">
    <cfRule type="containsBlanks" dxfId="21" priority="4">
      <formula>LEN(TRIM(C2))=0</formula>
    </cfRule>
  </conditionalFormatting>
  <conditionalFormatting sqref="H2:I4">
    <cfRule type="containsBlanks" dxfId="20" priority="1">
      <formula>LEN(TRIM(H2))=0</formula>
    </cfRule>
  </conditionalFormatting>
  <pageMargins left="0.27559055118110237" right="0" top="0.39370078740157483" bottom="0" header="0" footer="0"/>
  <pageSetup paperSize="5" scale="70" orientation="landscape" horizontalDpi="4294967294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/>
  </sheetPr>
  <dimension ref="A1:M14"/>
  <sheetViews>
    <sheetView showGridLines="0" zoomScale="120" zoomScaleNormal="120" workbookViewId="0">
      <selection activeCell="I12" sqref="I12:J12"/>
    </sheetView>
  </sheetViews>
  <sheetFormatPr baseColWidth="10" defaultColWidth="0" defaultRowHeight="15" x14ac:dyDescent="0.25"/>
  <cols>
    <col min="1" max="1" width="0.7109375" customWidth="1"/>
    <col min="2" max="2" width="6.42578125" customWidth="1"/>
    <col min="3" max="8" width="9.28515625" customWidth="1"/>
    <col min="9" max="9" width="9" customWidth="1"/>
    <col min="10" max="10" width="10.28515625" customWidth="1"/>
    <col min="11" max="11" width="9" customWidth="1"/>
    <col min="12" max="12" width="0.7109375" customWidth="1"/>
    <col min="13" max="13" width="10" customWidth="1"/>
    <col min="14" max="16384" width="11.42578125" hidden="1"/>
  </cols>
  <sheetData>
    <row r="1" spans="2:11" ht="9.75" customHeight="1" x14ac:dyDescent="0.25"/>
    <row r="2" spans="2:11" ht="28.5" customHeight="1" x14ac:dyDescent="0.25">
      <c r="B2" s="131" t="str">
        <f>CONCATENATE("UNIDAD EDUCATIVA:"," ",REGISTRO_B.DATOS!C2)</f>
        <v>UNIDAD EDUCATIVA: 27 DE MAYO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ht="26.25" x14ac:dyDescent="0.4">
      <c r="B3" s="5"/>
      <c r="C3" s="132" t="str">
        <f>CONCATENATE(REGISTRO_B.DATOS!A3," ",REGISTRO_B.DATOS!C3)</f>
        <v>CODIGO SIE: 71940029</v>
      </c>
      <c r="D3" s="132"/>
      <c r="E3" s="132"/>
      <c r="F3" s="132"/>
      <c r="G3" s="132"/>
      <c r="H3" s="132"/>
      <c r="I3" s="132"/>
      <c r="J3" s="132"/>
    </row>
    <row r="4" spans="2:11" ht="24.75" customHeight="1" x14ac:dyDescent="0.35">
      <c r="B4" s="5"/>
      <c r="C4" s="133" t="str">
        <f>CONCATENATE(REGISTRO_B.DATOS!A4," ",REGISTRO_B.DATOS!C4)</f>
        <v>DIRECCIÓN: BARRIO 27 DE MAYO</v>
      </c>
      <c r="D4" s="133"/>
      <c r="E4" s="133"/>
      <c r="F4" s="133"/>
      <c r="G4" s="133"/>
      <c r="H4" s="133"/>
      <c r="I4" s="133"/>
      <c r="J4" s="133"/>
    </row>
    <row r="5" spans="2:11" ht="21.75" customHeight="1" x14ac:dyDescent="0.25"/>
    <row r="6" spans="2:11" ht="36.75" hidden="1" customHeight="1" thickBot="1" x14ac:dyDescent="0.3">
      <c r="C6" s="136" t="s">
        <v>31</v>
      </c>
      <c r="D6" s="137"/>
      <c r="E6" s="137"/>
      <c r="F6" s="137"/>
      <c r="G6" s="137"/>
      <c r="H6" s="137"/>
      <c r="I6" s="137"/>
      <c r="J6" s="138"/>
    </row>
    <row r="7" spans="2:11" ht="36.75" hidden="1" customHeight="1" thickBot="1" x14ac:dyDescent="0.3">
      <c r="C7" s="139" t="s">
        <v>26</v>
      </c>
      <c r="D7" s="140"/>
      <c r="E7" s="140"/>
      <c r="F7" s="140" t="s">
        <v>27</v>
      </c>
      <c r="G7" s="140"/>
      <c r="H7" s="140"/>
      <c r="I7" s="141" t="s">
        <v>33</v>
      </c>
      <c r="J7" s="142"/>
    </row>
    <row r="8" spans="2:11" ht="24" hidden="1" customHeight="1" thickBot="1" x14ac:dyDescent="0.3">
      <c r="C8" s="135" t="s">
        <v>14</v>
      </c>
      <c r="D8" s="134"/>
      <c r="E8" s="134"/>
      <c r="F8" s="134" t="s">
        <v>32</v>
      </c>
      <c r="G8" s="134"/>
      <c r="H8" s="134"/>
      <c r="I8" s="141"/>
      <c r="J8" s="142"/>
    </row>
    <row r="9" spans="2:11" ht="38.25" hidden="1" customHeight="1" x14ac:dyDescent="0.25">
      <c r="B9" s="1"/>
      <c r="C9" s="128">
        <f>IF(REGISTRO_B.DATOS!F7&gt;0,SUM(REGISTRO_B.DATOS!F7:F1995),"")</f>
        <v>0</v>
      </c>
      <c r="D9" s="128"/>
      <c r="E9" s="128"/>
      <c r="F9" s="128" t="str">
        <f>IF(REGISTRO_B.DATOS!H7&gt;0,SUM(REGISTRO_B.DATOS!H7:H1995),"")</f>
        <v/>
      </c>
      <c r="G9" s="128"/>
      <c r="H9" s="128"/>
      <c r="I9" s="128" t="str">
        <f>IF(SUM(C9:H9)&gt;0,SUM(C9:H9),"")</f>
        <v/>
      </c>
      <c r="J9" s="128"/>
    </row>
    <row r="10" spans="2:11" ht="31.5" customHeight="1" x14ac:dyDescent="0.25"/>
    <row r="11" spans="2:11" ht="30.75" customHeight="1" x14ac:dyDescent="0.25">
      <c r="C11" s="129" t="s">
        <v>34</v>
      </c>
      <c r="D11" s="129"/>
      <c r="E11" s="129"/>
      <c r="F11" s="129"/>
      <c r="G11" s="129"/>
      <c r="H11" s="129"/>
      <c r="I11" s="130">
        <f>IF(REGISTRO_B.DATOS!A7&gt;0,COUNT(REGISTRO_B.DATOS!A7:A1995),"")</f>
        <v>1</v>
      </c>
      <c r="J11" s="130"/>
    </row>
    <row r="12" spans="2:11" ht="30.75" customHeight="1" x14ac:dyDescent="0.25">
      <c r="C12" s="124" t="s">
        <v>36</v>
      </c>
      <c r="D12" s="124"/>
      <c r="E12" s="124"/>
      <c r="F12" s="124"/>
      <c r="G12" s="124"/>
      <c r="H12" s="124"/>
      <c r="I12" s="125">
        <v>357</v>
      </c>
      <c r="J12" s="125"/>
    </row>
    <row r="13" spans="2:11" ht="30.75" customHeight="1" thickBot="1" x14ac:dyDescent="0.3">
      <c r="C13" s="126" t="s">
        <v>35</v>
      </c>
      <c r="D13" s="126"/>
      <c r="E13" s="126"/>
      <c r="F13" s="126"/>
      <c r="G13" s="126"/>
      <c r="H13" s="126"/>
      <c r="I13" s="127">
        <f>IF(I12&gt;0,I12-I11,"")</f>
        <v>356</v>
      </c>
      <c r="J13" s="127"/>
    </row>
    <row r="14" spans="2:11" ht="33.75" customHeight="1" thickBot="1" x14ac:dyDescent="0.3">
      <c r="C14" s="120" t="s">
        <v>33</v>
      </c>
      <c r="D14" s="120"/>
      <c r="E14" s="120"/>
      <c r="F14" s="120"/>
      <c r="G14" s="120"/>
      <c r="H14" s="121"/>
      <c r="I14" s="122">
        <f>IF(REGISTRO_B.DATOS!B7&gt;0,SUM(REGISTRO_B.DATOS!J7:J1995),"")</f>
        <v>0</v>
      </c>
      <c r="J14" s="123"/>
    </row>
  </sheetData>
  <sheetProtection algorithmName="SHA-512" hashValue="D8exRBJQW5th6A59uwEdLlS4/sfwmqplnIoT89iM7wog8+GaCSOdF+LcnX08srCi0qEIkNC/Z6WAKUxc218/SQ==" saltValue="5DzYMGzfHe4/15u1k1xmQw==" spinCount="100000" sheet="1" objects="1" scenarios="1" selectLockedCells="1"/>
  <mergeCells count="20">
    <mergeCell ref="B2:K2"/>
    <mergeCell ref="C3:J3"/>
    <mergeCell ref="C4:J4"/>
    <mergeCell ref="F8:H8"/>
    <mergeCell ref="C8:E8"/>
    <mergeCell ref="C6:J6"/>
    <mergeCell ref="C7:E7"/>
    <mergeCell ref="F7:H7"/>
    <mergeCell ref="I7:J8"/>
    <mergeCell ref="C9:E9"/>
    <mergeCell ref="F9:H9"/>
    <mergeCell ref="I9:J9"/>
    <mergeCell ref="C11:H11"/>
    <mergeCell ref="I11:J11"/>
    <mergeCell ref="C14:H14"/>
    <mergeCell ref="I14:J14"/>
    <mergeCell ref="C12:H12"/>
    <mergeCell ref="I12:J12"/>
    <mergeCell ref="C13:H13"/>
    <mergeCell ref="I13:J13"/>
  </mergeCells>
  <pageMargins left="0.78740157480314965" right="0.59055118110236227" top="0.59055118110236227" bottom="0.59055118110236227" header="0.31496062992125984" footer="0.31496062992125984"/>
  <pageSetup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002060"/>
  </sheetPr>
  <dimension ref="A1:Z60"/>
  <sheetViews>
    <sheetView showGridLines="0" tabSelected="1" zoomScale="110" zoomScaleNormal="110" workbookViewId="0">
      <selection activeCell="Y2" sqref="Y2"/>
    </sheetView>
  </sheetViews>
  <sheetFormatPr baseColWidth="10" defaultColWidth="0" defaultRowHeight="15" x14ac:dyDescent="0.25"/>
  <cols>
    <col min="1" max="1" width="1" customWidth="1"/>
    <col min="2" max="2" width="0.5703125" customWidth="1"/>
    <col min="3" max="10" width="12" customWidth="1"/>
    <col min="11" max="11" width="0.7109375" customWidth="1"/>
    <col min="12" max="12" width="2.85546875" hidden="1" customWidth="1"/>
    <col min="13" max="13" width="0.7109375" hidden="1" customWidth="1"/>
    <col min="14" max="21" width="5.7109375" hidden="1" customWidth="1"/>
    <col min="22" max="22" width="0.7109375" hidden="1" customWidth="1"/>
    <col min="23" max="23" width="3.85546875" hidden="1" customWidth="1"/>
    <col min="24" max="24" width="1.5703125" hidden="1" customWidth="1"/>
    <col min="25" max="25" width="4.28515625" customWidth="1"/>
    <col min="26" max="26" width="18.85546875" customWidth="1"/>
    <col min="27" max="16384" width="11.42578125" hidden="1"/>
  </cols>
  <sheetData>
    <row r="1" spans="1:25" ht="3.75" customHeight="1" x14ac:dyDescent="0.25">
      <c r="A1" s="2"/>
      <c r="B1" s="17"/>
      <c r="C1" s="18"/>
      <c r="D1" s="18"/>
      <c r="E1" s="18"/>
      <c r="F1" s="18"/>
      <c r="G1" s="18"/>
      <c r="H1" s="18"/>
      <c r="I1" s="18"/>
      <c r="J1" s="18"/>
      <c r="K1" s="19"/>
      <c r="W1" s="2"/>
      <c r="X1" s="2"/>
      <c r="Y1" s="2"/>
    </row>
    <row r="2" spans="1:25" x14ac:dyDescent="0.25">
      <c r="A2" s="2"/>
      <c r="B2" s="20"/>
      <c r="C2" s="167" t="str">
        <f>CONCATENATE("UNIDAD EDUCATIVA"," ",REGISTRO_B.DATOS!C2)</f>
        <v>UNIDAD EDUCATIVA 27 DE MAYO</v>
      </c>
      <c r="D2" s="167"/>
      <c r="E2" s="167"/>
      <c r="F2" s="167"/>
      <c r="G2" s="167"/>
      <c r="H2" s="167"/>
      <c r="I2" s="167"/>
      <c r="J2" s="167"/>
      <c r="K2" s="21"/>
      <c r="W2" s="2"/>
      <c r="X2" s="2"/>
      <c r="Y2" s="7">
        <v>1</v>
      </c>
    </row>
    <row r="3" spans="1:25" x14ac:dyDescent="0.25">
      <c r="A3" s="2"/>
      <c r="B3" s="20"/>
      <c r="C3" s="2"/>
      <c r="D3" s="168" t="str">
        <f>CONCATENATE("BOLIVIA"," - ",REGISTRO_B.DATOS!H2," - ",REGISTRO_B.DATOS!H3)</f>
        <v>BOLIVIA - SANTA CRUZ - PAILON</v>
      </c>
      <c r="E3" s="168"/>
      <c r="F3" s="168"/>
      <c r="G3" s="168"/>
      <c r="H3" s="168"/>
      <c r="I3" s="168"/>
      <c r="J3" s="2"/>
      <c r="K3" s="21"/>
      <c r="W3" s="2"/>
      <c r="X3" s="2"/>
      <c r="Y3" s="2"/>
    </row>
    <row r="4" spans="1:25" x14ac:dyDescent="0.25">
      <c r="A4" s="2"/>
      <c r="B4" s="20"/>
      <c r="C4" s="2"/>
      <c r="D4" s="12"/>
      <c r="E4" s="169" t="str">
        <f>CONCATENATE(REGISTRO_B.DATOS!A3,"  ",REGISTRO_B.DATOS!C3)</f>
        <v>CODIGO SIE:  71940029</v>
      </c>
      <c r="F4" s="169"/>
      <c r="G4" s="169"/>
      <c r="H4" s="169"/>
      <c r="I4" s="12"/>
      <c r="J4" s="2"/>
      <c r="K4" s="21"/>
      <c r="W4" s="2"/>
      <c r="X4" s="2"/>
      <c r="Y4" s="2"/>
    </row>
    <row r="5" spans="1:25" x14ac:dyDescent="0.25">
      <c r="A5" s="2"/>
      <c r="B5" s="20"/>
      <c r="C5" s="2"/>
      <c r="D5" s="166" t="str">
        <f>CONCATENATE("Tel. Cel"," ",REGISTRO_B.DATOS!H4)</f>
        <v>Tel. Cel 77633299</v>
      </c>
      <c r="E5" s="166"/>
      <c r="F5" s="166"/>
      <c r="G5" s="166"/>
      <c r="H5" s="166"/>
      <c r="I5" s="166"/>
      <c r="J5" s="2"/>
      <c r="K5" s="21"/>
      <c r="W5" s="2"/>
      <c r="X5" s="2"/>
      <c r="Y5" s="2"/>
    </row>
    <row r="6" spans="1:25" ht="5.25" customHeight="1" x14ac:dyDescent="0.25">
      <c r="A6" s="2"/>
      <c r="B6" s="20"/>
      <c r="C6" s="2"/>
      <c r="D6" s="2"/>
      <c r="E6" s="2"/>
      <c r="F6" s="2"/>
      <c r="G6" s="2"/>
      <c r="H6" s="2"/>
      <c r="I6" s="2"/>
      <c r="J6" s="2"/>
      <c r="K6" s="21"/>
      <c r="W6" s="2"/>
      <c r="X6" s="2"/>
      <c r="Y6" s="2"/>
    </row>
    <row r="7" spans="1:25" x14ac:dyDescent="0.25">
      <c r="A7" s="2"/>
      <c r="B7" s="20"/>
      <c r="C7" s="16" t="s">
        <v>20</v>
      </c>
      <c r="D7" s="162">
        <f ca="1">IF(W9="","",(INDIRECT(W9&amp;"!A"&amp;W7)))</f>
        <v>1</v>
      </c>
      <c r="E7" s="162"/>
      <c r="F7" s="2"/>
      <c r="G7" s="2"/>
      <c r="H7" s="2"/>
      <c r="I7" s="2"/>
      <c r="J7" s="2"/>
      <c r="K7" s="21"/>
      <c r="W7" s="6">
        <f>IF(Y$2&gt;0,Y$2+6,"")</f>
        <v>7</v>
      </c>
      <c r="X7" s="2"/>
    </row>
    <row r="8" spans="1:25" ht="6" customHeight="1" x14ac:dyDescent="0.25">
      <c r="A8" s="2"/>
      <c r="B8" s="20"/>
      <c r="C8" s="3"/>
      <c r="D8" s="81"/>
      <c r="E8" s="81"/>
      <c r="F8" s="2"/>
      <c r="G8" s="2"/>
      <c r="H8" s="2"/>
      <c r="I8" s="2"/>
      <c r="J8" s="2"/>
      <c r="K8" s="21"/>
      <c r="W8" s="2"/>
      <c r="X8" s="2"/>
      <c r="Y8" s="2"/>
    </row>
    <row r="9" spans="1:25" ht="21.75" customHeight="1" x14ac:dyDescent="0.25">
      <c r="A9" s="2"/>
      <c r="B9" s="20"/>
      <c r="C9" s="164" t="s">
        <v>21</v>
      </c>
      <c r="D9" s="164"/>
      <c r="E9" s="164"/>
      <c r="F9" s="164"/>
      <c r="G9" s="164"/>
      <c r="H9" s="164"/>
      <c r="I9" s="164"/>
      <c r="J9" s="164"/>
      <c r="K9" s="21"/>
      <c r="W9" s="6" t="s">
        <v>28</v>
      </c>
      <c r="X9" s="2"/>
    </row>
    <row r="10" spans="1:25" x14ac:dyDescent="0.25">
      <c r="A10" s="2"/>
      <c r="B10" s="20"/>
      <c r="C10" s="165" t="s">
        <v>49</v>
      </c>
      <c r="D10" s="165"/>
      <c r="E10" s="165"/>
      <c r="F10" s="165"/>
      <c r="G10" s="165"/>
      <c r="H10" s="165"/>
      <c r="I10" s="165"/>
      <c r="J10" s="165"/>
      <c r="K10" s="21"/>
      <c r="W10" s="2"/>
      <c r="X10" s="2"/>
      <c r="Y10" s="2"/>
    </row>
    <row r="11" spans="1:25" x14ac:dyDescent="0.25">
      <c r="A11" s="2"/>
      <c r="B11" s="20"/>
      <c r="C11" s="153" t="str">
        <f ca="1">IF(W9="","",(INDIRECT(W9&amp;"!B"&amp;W7)))</f>
        <v>MUESTRA</v>
      </c>
      <c r="D11" s="153"/>
      <c r="E11" s="153"/>
      <c r="F11" s="153"/>
      <c r="G11" s="153"/>
      <c r="H11" s="153"/>
      <c r="I11" s="153"/>
      <c r="J11" s="153"/>
      <c r="K11" s="21"/>
      <c r="W11" s="2"/>
      <c r="X11" s="2"/>
      <c r="Y11" s="2"/>
    </row>
    <row r="12" spans="1:25" ht="5.25" customHeight="1" x14ac:dyDescent="0.25">
      <c r="A12" s="2"/>
      <c r="B12" s="20"/>
      <c r="C12" s="2"/>
      <c r="D12" s="2"/>
      <c r="E12" s="2"/>
      <c r="F12" s="2"/>
      <c r="G12" s="2"/>
      <c r="H12" s="2"/>
      <c r="I12" s="2"/>
      <c r="J12" s="2"/>
      <c r="K12" s="21"/>
      <c r="W12" s="2"/>
      <c r="X12" s="2"/>
      <c r="Y12" s="2"/>
    </row>
    <row r="13" spans="1:25" x14ac:dyDescent="0.25">
      <c r="A13" s="2"/>
      <c r="B13" s="20"/>
      <c r="C13" s="31" t="s">
        <v>44</v>
      </c>
      <c r="D13" s="158" t="s">
        <v>50</v>
      </c>
      <c r="E13" s="159"/>
      <c r="F13" s="160"/>
      <c r="G13" s="31" t="s">
        <v>44</v>
      </c>
      <c r="H13" s="158" t="s">
        <v>50</v>
      </c>
      <c r="I13" s="159"/>
      <c r="J13" s="160"/>
      <c r="K13" s="21"/>
      <c r="W13" s="2"/>
      <c r="X13" s="2"/>
      <c r="Y13" s="2"/>
    </row>
    <row r="14" spans="1:25" x14ac:dyDescent="0.25">
      <c r="A14" s="2"/>
      <c r="B14" s="20"/>
      <c r="C14" s="31" t="s">
        <v>46</v>
      </c>
      <c r="D14" s="48" t="str">
        <f ca="1">IF(W9="","",(INDIRECT(W9&amp;"!C"&amp;W7)))</f>
        <v>MUESTRA</v>
      </c>
      <c r="E14" s="49"/>
      <c r="F14" s="49"/>
      <c r="G14" s="31" t="s">
        <v>47</v>
      </c>
      <c r="H14" s="156" t="str">
        <f ca="1">IF(W9="","",(INDIRECT(W9&amp;"!D"&amp;W7)))</f>
        <v>MUESTRA</v>
      </c>
      <c r="I14" s="156"/>
      <c r="J14" s="157"/>
      <c r="K14" s="21"/>
      <c r="W14" s="2"/>
      <c r="X14" s="2"/>
      <c r="Y14" s="2"/>
    </row>
    <row r="15" spans="1:25" x14ac:dyDescent="0.25">
      <c r="A15" s="2"/>
      <c r="B15" s="20"/>
      <c r="C15" s="31" t="s">
        <v>48</v>
      </c>
      <c r="D15" s="48" t="str">
        <f ca="1">IF(W9="","",(INDIRECT(W9&amp;"!E"&amp;W7)))</f>
        <v>MUESTRA</v>
      </c>
      <c r="E15" s="49"/>
      <c r="F15" s="49"/>
      <c r="G15" s="31" t="s">
        <v>51</v>
      </c>
      <c r="H15" s="155" t="str">
        <f ca="1">IF(W9="","",(INDIRECT(W9&amp;"!F"&amp;W7)))</f>
        <v>MUESTRA</v>
      </c>
      <c r="I15" s="156"/>
      <c r="J15" s="157"/>
      <c r="K15" s="21"/>
      <c r="W15" s="2"/>
      <c r="X15" s="2"/>
      <c r="Y15" s="2"/>
    </row>
    <row r="16" spans="1:25" x14ac:dyDescent="0.25">
      <c r="A16" s="2"/>
      <c r="B16" s="20"/>
      <c r="C16" s="31" t="s">
        <v>53</v>
      </c>
      <c r="D16" s="48">
        <f ca="1">IF(W9="","",(INDIRECT(W9&amp;"!G"&amp;W7)))</f>
        <v>0</v>
      </c>
      <c r="E16" s="49"/>
      <c r="F16" s="49"/>
      <c r="G16" s="31" t="s">
        <v>52</v>
      </c>
      <c r="H16" s="155">
        <f ca="1">IF(W9="","",(INDIRECT(W9&amp;"!H"&amp;W7)))</f>
        <v>0</v>
      </c>
      <c r="I16" s="156"/>
      <c r="J16" s="157"/>
      <c r="K16" s="21"/>
      <c r="W16" s="2"/>
      <c r="X16" s="2"/>
      <c r="Y16" s="2"/>
    </row>
    <row r="17" spans="1:25" ht="5.25" customHeight="1" x14ac:dyDescent="0.25">
      <c r="A17" s="2"/>
      <c r="B17" s="20"/>
      <c r="C17" s="2"/>
      <c r="D17" s="2"/>
      <c r="E17" s="2"/>
      <c r="F17" s="2"/>
      <c r="G17" s="2"/>
      <c r="H17" s="2"/>
      <c r="I17" s="2"/>
      <c r="J17" s="2"/>
      <c r="K17" s="21"/>
      <c r="W17" s="2"/>
      <c r="X17" s="2"/>
      <c r="Y17" s="2"/>
    </row>
    <row r="18" spans="1:25" x14ac:dyDescent="0.25">
      <c r="A18" s="2"/>
      <c r="B18" s="20"/>
      <c r="C18" s="152" t="s">
        <v>18</v>
      </c>
      <c r="D18" s="152"/>
      <c r="E18" s="152"/>
      <c r="F18" s="152"/>
      <c r="G18" s="152"/>
      <c r="H18" s="152"/>
      <c r="I18" s="152"/>
      <c r="J18" s="152"/>
      <c r="K18" s="21"/>
      <c r="W18" s="2"/>
      <c r="X18" s="2"/>
      <c r="Y18" s="2"/>
    </row>
    <row r="19" spans="1:25" x14ac:dyDescent="0.25">
      <c r="A19" s="2"/>
      <c r="B19" s="20"/>
      <c r="C19" s="153" t="str">
        <f ca="1">IF(W9="","",(INDIRECT(W9&amp;"!I"&amp;W7)))</f>
        <v>MUESTRA</v>
      </c>
      <c r="D19" s="153"/>
      <c r="E19" s="153"/>
      <c r="F19" s="153"/>
      <c r="G19" s="153"/>
      <c r="H19" s="153"/>
      <c r="I19" s="153"/>
      <c r="J19" s="153"/>
      <c r="K19" s="21"/>
      <c r="W19" s="2"/>
      <c r="X19" s="2"/>
      <c r="Y19" s="2"/>
    </row>
    <row r="20" spans="1:25" ht="4.5" customHeight="1" x14ac:dyDescent="0.25">
      <c r="A20" s="2"/>
      <c r="B20" s="20"/>
      <c r="C20" s="2"/>
      <c r="D20" s="2"/>
      <c r="E20" s="2"/>
      <c r="F20" s="2"/>
      <c r="G20" s="2"/>
      <c r="H20" s="2"/>
      <c r="I20" s="2"/>
      <c r="J20" s="2"/>
      <c r="K20" s="21"/>
      <c r="W20" s="2"/>
      <c r="X20" s="2"/>
      <c r="Y20" s="2"/>
    </row>
    <row r="21" spans="1:25" x14ac:dyDescent="0.25">
      <c r="A21" s="2"/>
      <c r="B21" s="20"/>
      <c r="C21" s="145" t="s">
        <v>19</v>
      </c>
      <c r="D21" s="145"/>
      <c r="E21" s="145"/>
      <c r="F21" s="146">
        <f ca="1">IF(W9="","",(INDIRECT(W9&amp;"!J"&amp;W7)))</f>
        <v>0</v>
      </c>
      <c r="G21" s="146"/>
      <c r="H21" s="147" t="s">
        <v>22</v>
      </c>
      <c r="I21" s="147"/>
      <c r="J21" s="147"/>
      <c r="K21" s="21"/>
      <c r="W21" s="2"/>
      <c r="X21" s="2"/>
      <c r="Y21" s="2"/>
    </row>
    <row r="22" spans="1:25" ht="6" customHeight="1" x14ac:dyDescent="0.25">
      <c r="A22" s="2"/>
      <c r="B22" s="20"/>
      <c r="C22" s="2"/>
      <c r="D22" s="2"/>
      <c r="E22" s="2"/>
      <c r="F22" s="2"/>
      <c r="G22" s="2"/>
      <c r="H22" s="2"/>
      <c r="I22" s="2"/>
      <c r="J22" s="2"/>
      <c r="K22" s="21"/>
      <c r="W22" s="2"/>
      <c r="X22" s="2"/>
      <c r="Y22" s="2"/>
    </row>
    <row r="23" spans="1:25" ht="22.5" customHeight="1" x14ac:dyDescent="0.25">
      <c r="A23" s="2"/>
      <c r="B23" s="20"/>
      <c r="C23" s="2"/>
      <c r="D23" s="2"/>
      <c r="E23" s="2"/>
      <c r="F23" s="2"/>
      <c r="G23" s="82" t="s">
        <v>25</v>
      </c>
      <c r="H23" s="149" t="str">
        <f ca="1">IF(W9="","",(INDIRECT(W9&amp;"!K"&amp;W7)))</f>
        <v>28/3/2022</v>
      </c>
      <c r="I23" s="149"/>
      <c r="J23" s="149"/>
      <c r="K23" s="21"/>
      <c r="W23" s="2"/>
      <c r="X23" s="2"/>
      <c r="Y23" s="2"/>
    </row>
    <row r="24" spans="1:25" ht="21" customHeight="1" x14ac:dyDescent="0.25">
      <c r="A24" s="2"/>
      <c r="B24" s="20"/>
      <c r="C24" s="2"/>
      <c r="D24" s="2"/>
      <c r="E24" s="2"/>
      <c r="F24" s="2"/>
      <c r="G24" s="2"/>
      <c r="H24" s="2"/>
      <c r="I24" s="2"/>
      <c r="J24" s="2"/>
      <c r="K24" s="21"/>
      <c r="W24" s="2"/>
      <c r="X24" s="2"/>
      <c r="Y24" s="2"/>
    </row>
    <row r="25" spans="1:25" x14ac:dyDescent="0.25">
      <c r="A25" s="2"/>
      <c r="B25" s="20"/>
      <c r="C25" s="144"/>
      <c r="D25" s="144"/>
      <c r="E25" s="144"/>
      <c r="F25" s="2"/>
      <c r="G25" s="2"/>
      <c r="H25" s="144"/>
      <c r="I25" s="144"/>
      <c r="J25" s="144"/>
      <c r="K25" s="21"/>
      <c r="W25" s="2"/>
      <c r="X25" s="2"/>
      <c r="Y25" s="2"/>
    </row>
    <row r="26" spans="1:25" x14ac:dyDescent="0.25">
      <c r="A26" s="2"/>
      <c r="B26" s="20"/>
      <c r="C26" s="143" t="s">
        <v>23</v>
      </c>
      <c r="D26" s="143"/>
      <c r="E26" s="143"/>
      <c r="F26" s="15"/>
      <c r="G26" s="15"/>
      <c r="H26" s="143" t="s">
        <v>24</v>
      </c>
      <c r="I26" s="143"/>
      <c r="J26" s="143"/>
      <c r="K26" s="22"/>
      <c r="L26" s="13"/>
      <c r="W26" s="2"/>
      <c r="X26" s="2"/>
      <c r="Y26" s="2"/>
    </row>
    <row r="27" spans="1:25" ht="10.5" customHeight="1" x14ac:dyDescent="0.25">
      <c r="A27" s="2"/>
      <c r="B27" s="20"/>
      <c r="C27" s="15"/>
      <c r="D27" s="15"/>
      <c r="E27" s="15"/>
      <c r="F27" s="15"/>
      <c r="G27" s="15"/>
      <c r="H27" s="15"/>
      <c r="I27" s="15"/>
      <c r="J27" s="15"/>
      <c r="K27" s="22"/>
      <c r="L27" s="13"/>
      <c r="W27" s="2"/>
      <c r="X27" s="2"/>
      <c r="Y27" s="2"/>
    </row>
    <row r="28" spans="1:25" ht="3.75" customHeight="1" x14ac:dyDescent="0.25">
      <c r="A28" s="2"/>
      <c r="B28" s="23"/>
      <c r="C28" s="24"/>
      <c r="D28" s="24"/>
      <c r="E28" s="24"/>
      <c r="F28" s="24"/>
      <c r="G28" s="24"/>
      <c r="H28" s="24"/>
      <c r="I28" s="24"/>
      <c r="J28" s="24"/>
      <c r="K28" s="25"/>
      <c r="W28" s="2"/>
      <c r="X28" s="2"/>
      <c r="Y28" s="2"/>
    </row>
    <row r="29" spans="1:25" ht="10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 ht="10.5" customHeight="1" x14ac:dyDescent="0.25"/>
    <row r="31" spans="1:25" ht="10.5" customHeight="1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2"/>
      <c r="X31" s="2"/>
      <c r="Y31" s="2"/>
    </row>
    <row r="32" spans="1:25" ht="10.5" customHeigh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2:25" ht="3.75" customHeight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9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2:25" x14ac:dyDescent="0.25">
      <c r="B34" s="20"/>
      <c r="C34" s="167" t="str">
        <f>C2</f>
        <v>UNIDAD EDUCATIVA 27 DE MAYO</v>
      </c>
      <c r="D34" s="167"/>
      <c r="E34" s="167"/>
      <c r="F34" s="167"/>
      <c r="G34" s="167"/>
      <c r="H34" s="167"/>
      <c r="I34" s="167"/>
      <c r="J34" s="167"/>
      <c r="K34" s="21"/>
      <c r="M34" s="2"/>
      <c r="N34" s="167"/>
      <c r="O34" s="167"/>
      <c r="P34" s="167"/>
      <c r="Q34" s="167"/>
      <c r="R34" s="167"/>
      <c r="S34" s="167"/>
      <c r="T34" s="167"/>
      <c r="U34" s="167"/>
      <c r="V34" s="2"/>
      <c r="W34" s="2"/>
      <c r="X34" s="2"/>
      <c r="Y34" s="2"/>
    </row>
    <row r="35" spans="2:25" x14ac:dyDescent="0.25">
      <c r="B35" s="20"/>
      <c r="C35" s="2"/>
      <c r="D35" s="168" t="str">
        <f>D3</f>
        <v>BOLIVIA - SANTA CRUZ - PAILON</v>
      </c>
      <c r="E35" s="168"/>
      <c r="F35" s="168"/>
      <c r="G35" s="168"/>
      <c r="H35" s="168"/>
      <c r="I35" s="168"/>
      <c r="J35" s="2"/>
      <c r="K35" s="21"/>
      <c r="M35" s="2"/>
      <c r="N35" s="2"/>
      <c r="O35" s="168"/>
      <c r="P35" s="168"/>
      <c r="Q35" s="168"/>
      <c r="R35" s="168"/>
      <c r="S35" s="168"/>
      <c r="T35" s="168"/>
      <c r="U35" s="2"/>
      <c r="V35" s="2"/>
      <c r="W35" s="2"/>
      <c r="X35" s="2"/>
      <c r="Y35" s="2"/>
    </row>
    <row r="36" spans="2:25" x14ac:dyDescent="0.25">
      <c r="B36" s="20"/>
      <c r="C36" s="2"/>
      <c r="D36" s="12"/>
      <c r="E36" s="169" t="str">
        <f>E4</f>
        <v>CODIGO SIE:  71940029</v>
      </c>
      <c r="F36" s="169"/>
      <c r="G36" s="169"/>
      <c r="H36" s="169"/>
      <c r="I36" s="12"/>
      <c r="J36" s="2"/>
      <c r="K36" s="21"/>
      <c r="M36" s="2"/>
      <c r="N36" s="2"/>
      <c r="O36" s="12"/>
      <c r="P36" s="169"/>
      <c r="Q36" s="169"/>
      <c r="R36" s="169"/>
      <c r="S36" s="169"/>
      <c r="T36" s="12"/>
      <c r="U36" s="2"/>
      <c r="V36" s="2"/>
      <c r="W36" s="2"/>
      <c r="X36" s="2"/>
      <c r="Y36" s="2"/>
    </row>
    <row r="37" spans="2:25" x14ac:dyDescent="0.25">
      <c r="B37" s="20"/>
      <c r="C37" s="2"/>
      <c r="D37" s="166" t="str">
        <f>D5</f>
        <v>Tel. Cel 77633299</v>
      </c>
      <c r="E37" s="166"/>
      <c r="F37" s="166"/>
      <c r="G37" s="166"/>
      <c r="H37" s="166"/>
      <c r="I37" s="166"/>
      <c r="J37" s="2"/>
      <c r="K37" s="21"/>
      <c r="M37" s="2"/>
      <c r="N37" s="2"/>
      <c r="O37" s="166"/>
      <c r="P37" s="166"/>
      <c r="Q37" s="166"/>
      <c r="R37" s="166"/>
      <c r="S37" s="166"/>
      <c r="T37" s="166"/>
      <c r="U37" s="2"/>
      <c r="V37" s="2"/>
      <c r="W37" s="2"/>
      <c r="X37" s="2"/>
      <c r="Y37" s="2"/>
    </row>
    <row r="38" spans="2:25" ht="5.25" customHeight="1" x14ac:dyDescent="0.25">
      <c r="B38" s="20"/>
      <c r="C38" s="2"/>
      <c r="D38" s="12"/>
      <c r="E38" s="12"/>
      <c r="F38" s="12"/>
      <c r="G38" s="12"/>
      <c r="H38" s="12"/>
      <c r="I38" s="12"/>
      <c r="J38" s="2"/>
      <c r="K38" s="2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2:25" x14ac:dyDescent="0.25">
      <c r="B39" s="20"/>
      <c r="C39" s="16" t="s">
        <v>20</v>
      </c>
      <c r="D39" s="162">
        <f ca="1">D7</f>
        <v>1</v>
      </c>
      <c r="E39" s="162"/>
      <c r="F39" s="2"/>
      <c r="G39" s="2"/>
      <c r="H39" s="2"/>
      <c r="I39" s="2"/>
      <c r="J39" s="2"/>
      <c r="K39" s="21"/>
      <c r="M39" s="2"/>
      <c r="N39" s="16"/>
      <c r="O39" s="163"/>
      <c r="P39" s="163"/>
      <c r="Q39" s="2"/>
      <c r="R39" s="2"/>
      <c r="S39" s="2"/>
      <c r="T39" s="2"/>
      <c r="U39" s="2"/>
      <c r="V39" s="2"/>
      <c r="W39" s="2"/>
      <c r="X39" s="2"/>
      <c r="Y39" s="2"/>
    </row>
    <row r="40" spans="2:25" ht="6" customHeight="1" x14ac:dyDescent="0.25">
      <c r="B40" s="20"/>
      <c r="C40" s="3"/>
      <c r="D40" s="81"/>
      <c r="E40" s="81"/>
      <c r="F40" s="2"/>
      <c r="G40" s="2"/>
      <c r="H40" s="2"/>
      <c r="I40" s="2"/>
      <c r="J40" s="2"/>
      <c r="K40" s="21"/>
      <c r="M40" s="2"/>
      <c r="N40" s="3"/>
      <c r="O40" s="81"/>
      <c r="P40" s="81"/>
      <c r="Q40" s="2"/>
      <c r="R40" s="2"/>
      <c r="S40" s="2"/>
      <c r="T40" s="2"/>
      <c r="U40" s="2"/>
      <c r="V40" s="2"/>
      <c r="W40" s="2"/>
      <c r="X40" s="2"/>
      <c r="Y40" s="2"/>
    </row>
    <row r="41" spans="2:25" ht="21.75" customHeight="1" x14ac:dyDescent="0.25">
      <c r="B41" s="20"/>
      <c r="C41" s="164" t="s">
        <v>21</v>
      </c>
      <c r="D41" s="164"/>
      <c r="E41" s="164"/>
      <c r="F41" s="164"/>
      <c r="G41" s="164"/>
      <c r="H41" s="164"/>
      <c r="I41" s="164"/>
      <c r="J41" s="164"/>
      <c r="K41" s="21"/>
      <c r="M41" s="2"/>
      <c r="N41" s="164"/>
      <c r="O41" s="164"/>
      <c r="P41" s="164"/>
      <c r="Q41" s="164"/>
      <c r="R41" s="164"/>
      <c r="S41" s="164"/>
      <c r="T41" s="164"/>
      <c r="U41" s="164"/>
      <c r="V41" s="2"/>
      <c r="W41" s="2"/>
      <c r="X41" s="2"/>
      <c r="Y41" s="2"/>
    </row>
    <row r="42" spans="2:25" x14ac:dyDescent="0.25">
      <c r="B42" s="20"/>
      <c r="C42" s="165" t="s">
        <v>49</v>
      </c>
      <c r="D42" s="165"/>
      <c r="E42" s="165"/>
      <c r="F42" s="165"/>
      <c r="G42" s="165"/>
      <c r="H42" s="165"/>
      <c r="I42" s="165"/>
      <c r="J42" s="165"/>
      <c r="K42" s="21"/>
      <c r="M42" s="2"/>
      <c r="N42" s="165"/>
      <c r="O42" s="165"/>
      <c r="P42" s="165"/>
      <c r="Q42" s="165"/>
      <c r="R42" s="165"/>
      <c r="S42" s="165"/>
      <c r="T42" s="165"/>
      <c r="U42" s="165"/>
      <c r="V42" s="2"/>
      <c r="W42" s="2"/>
      <c r="X42" s="2"/>
      <c r="Y42" s="2"/>
    </row>
    <row r="43" spans="2:25" x14ac:dyDescent="0.25">
      <c r="B43" s="20"/>
      <c r="C43" s="153" t="str">
        <f ca="1">C11</f>
        <v>MUESTRA</v>
      </c>
      <c r="D43" s="153"/>
      <c r="E43" s="153"/>
      <c r="F43" s="153"/>
      <c r="G43" s="153"/>
      <c r="H43" s="153"/>
      <c r="I43" s="153"/>
      <c r="J43" s="153"/>
      <c r="K43" s="21"/>
      <c r="M43" s="2"/>
      <c r="N43" s="151"/>
      <c r="O43" s="151"/>
      <c r="P43" s="151"/>
      <c r="Q43" s="151"/>
      <c r="R43" s="151"/>
      <c r="S43" s="151"/>
      <c r="T43" s="151"/>
      <c r="U43" s="151"/>
      <c r="V43" s="2"/>
      <c r="W43" s="2"/>
      <c r="X43" s="2"/>
      <c r="Y43" s="2"/>
    </row>
    <row r="44" spans="2:25" ht="5.25" customHeight="1" x14ac:dyDescent="0.25">
      <c r="B44" s="20"/>
      <c r="C44" s="2"/>
      <c r="D44" s="2"/>
      <c r="E44" s="2"/>
      <c r="F44" s="2"/>
      <c r="G44" s="2"/>
      <c r="H44" s="2"/>
      <c r="I44" s="2"/>
      <c r="J44" s="2"/>
      <c r="K44" s="2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2:25" x14ac:dyDescent="0.25">
      <c r="B45" s="20"/>
      <c r="C45" s="31" t="s">
        <v>44</v>
      </c>
      <c r="D45" s="50" t="s">
        <v>45</v>
      </c>
      <c r="E45" s="51"/>
      <c r="F45" s="51"/>
      <c r="G45" s="31" t="s">
        <v>44</v>
      </c>
      <c r="H45" s="158" t="s">
        <v>1</v>
      </c>
      <c r="I45" s="159"/>
      <c r="J45" s="160"/>
      <c r="K45" s="21"/>
      <c r="L45" s="13"/>
      <c r="M45" s="15"/>
      <c r="N45" s="161"/>
      <c r="O45" s="161"/>
      <c r="P45" s="161"/>
      <c r="Q45" s="161"/>
      <c r="R45" s="161"/>
      <c r="S45" s="161"/>
      <c r="T45" s="161"/>
      <c r="U45" s="161"/>
      <c r="V45" s="2"/>
      <c r="W45" s="2"/>
      <c r="X45" s="2"/>
      <c r="Y45" s="2"/>
    </row>
    <row r="46" spans="2:25" x14ac:dyDescent="0.25">
      <c r="B46" s="20"/>
      <c r="C46" s="31" t="s">
        <v>46</v>
      </c>
      <c r="D46" s="48" t="str">
        <f ca="1">D14</f>
        <v>MUESTRA</v>
      </c>
      <c r="E46" s="49"/>
      <c r="F46" s="49"/>
      <c r="G46" s="31" t="s">
        <v>47</v>
      </c>
      <c r="H46" s="155" t="str">
        <f ca="1">H14</f>
        <v>MUESTRA</v>
      </c>
      <c r="I46" s="156"/>
      <c r="J46" s="157"/>
      <c r="K46" s="21"/>
      <c r="L46" s="14"/>
      <c r="M46" s="12"/>
      <c r="N46" s="148"/>
      <c r="O46" s="148"/>
      <c r="P46" s="148"/>
      <c r="Q46" s="148"/>
      <c r="R46" s="148"/>
      <c r="S46" s="148"/>
      <c r="T46" s="148"/>
      <c r="U46" s="148"/>
      <c r="V46" s="2"/>
      <c r="W46" s="2"/>
      <c r="X46" s="2"/>
      <c r="Y46" s="2"/>
    </row>
    <row r="47" spans="2:25" ht="14.25" customHeight="1" x14ac:dyDescent="0.25">
      <c r="B47" s="20"/>
      <c r="C47" s="31" t="s">
        <v>48</v>
      </c>
      <c r="D47" s="48" t="str">
        <f ca="1">D15</f>
        <v>MUESTRA</v>
      </c>
      <c r="E47" s="49"/>
      <c r="F47" s="49"/>
      <c r="G47" s="31" t="s">
        <v>51</v>
      </c>
      <c r="H47" s="155" t="str">
        <f ca="1">H15</f>
        <v>MUESTRA</v>
      </c>
      <c r="I47" s="156"/>
      <c r="J47" s="157"/>
      <c r="K47" s="2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2:25" x14ac:dyDescent="0.25">
      <c r="B48" s="20"/>
      <c r="C48" s="31" t="s">
        <v>53</v>
      </c>
      <c r="D48" s="48">
        <f ca="1">D16</f>
        <v>0</v>
      </c>
      <c r="E48" s="49"/>
      <c r="F48" s="49"/>
      <c r="G48" s="31" t="s">
        <v>52</v>
      </c>
      <c r="H48" s="155">
        <f ca="1">H16</f>
        <v>0</v>
      </c>
      <c r="I48" s="156"/>
      <c r="J48" s="157"/>
      <c r="K48" s="21"/>
      <c r="M48" s="2"/>
      <c r="N48" s="152"/>
      <c r="O48" s="152"/>
      <c r="P48" s="152"/>
      <c r="Q48" s="152"/>
      <c r="R48" s="152"/>
      <c r="S48" s="152"/>
      <c r="T48" s="152"/>
      <c r="U48" s="152"/>
      <c r="V48" s="2"/>
      <c r="W48" s="2"/>
      <c r="X48" s="2"/>
      <c r="Y48" s="2"/>
    </row>
    <row r="49" spans="2:25" x14ac:dyDescent="0.25">
      <c r="B49" s="20"/>
      <c r="C49" s="2"/>
      <c r="D49" s="2"/>
      <c r="E49" s="2"/>
      <c r="F49" s="2"/>
      <c r="G49" s="2"/>
      <c r="H49" s="2"/>
      <c r="I49" s="2"/>
      <c r="J49" s="2"/>
      <c r="K49" s="21"/>
      <c r="M49" s="2"/>
      <c r="N49" s="151"/>
      <c r="O49" s="151"/>
      <c r="P49" s="151"/>
      <c r="Q49" s="151"/>
      <c r="R49" s="151"/>
      <c r="S49" s="151"/>
      <c r="T49" s="151"/>
      <c r="U49" s="151"/>
      <c r="V49" s="2"/>
      <c r="W49" s="2"/>
      <c r="X49" s="2"/>
      <c r="Y49" s="2"/>
    </row>
    <row r="50" spans="2:25" ht="12" customHeight="1" x14ac:dyDescent="0.25">
      <c r="B50" s="20"/>
      <c r="C50" s="152" t="s">
        <v>18</v>
      </c>
      <c r="D50" s="152"/>
      <c r="E50" s="152"/>
      <c r="F50" s="152"/>
      <c r="G50" s="152"/>
      <c r="H50" s="152"/>
      <c r="I50" s="152"/>
      <c r="J50" s="152"/>
      <c r="K50" s="2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2:25" ht="14.25" customHeight="1" x14ac:dyDescent="0.25">
      <c r="B51" s="20"/>
      <c r="C51" s="153" t="str">
        <f ca="1">IF(W9="","",(INDIRECT(W9&amp;"!i"&amp;W7)))</f>
        <v>MUESTRA</v>
      </c>
      <c r="D51" s="153"/>
      <c r="E51" s="153"/>
      <c r="F51" s="153"/>
      <c r="G51" s="153"/>
      <c r="H51" s="153"/>
      <c r="I51" s="153"/>
      <c r="J51" s="153"/>
      <c r="K51" s="21"/>
      <c r="M51" s="2"/>
      <c r="N51" s="145"/>
      <c r="O51" s="145"/>
      <c r="P51" s="145"/>
      <c r="Q51" s="154"/>
      <c r="R51" s="154"/>
      <c r="S51" s="147"/>
      <c r="T51" s="147"/>
      <c r="U51" s="147"/>
      <c r="V51" s="2"/>
      <c r="W51" s="2"/>
      <c r="X51" s="2"/>
      <c r="Y51" s="2"/>
    </row>
    <row r="52" spans="2:25" ht="6" customHeight="1" x14ac:dyDescent="0.25">
      <c r="B52" s="20"/>
      <c r="C52" s="2"/>
      <c r="D52" s="2"/>
      <c r="E52" s="2"/>
      <c r="F52" s="2"/>
      <c r="G52" s="2"/>
      <c r="H52" s="2"/>
      <c r="I52" s="2"/>
      <c r="J52" s="2"/>
      <c r="K52" s="2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2:25" ht="22.5" customHeight="1" x14ac:dyDescent="0.25">
      <c r="B53" s="20"/>
      <c r="C53" s="145" t="s">
        <v>19</v>
      </c>
      <c r="D53" s="145"/>
      <c r="E53" s="145"/>
      <c r="F53" s="146">
        <f ca="1">F21</f>
        <v>0</v>
      </c>
      <c r="G53" s="146"/>
      <c r="H53" s="147" t="s">
        <v>22</v>
      </c>
      <c r="I53" s="147"/>
      <c r="J53" s="147"/>
      <c r="K53" s="21"/>
      <c r="M53" s="2"/>
      <c r="N53" s="2"/>
      <c r="O53" s="2"/>
      <c r="P53" s="2"/>
      <c r="Q53" s="2"/>
      <c r="R53" s="82"/>
      <c r="S53" s="148"/>
      <c r="T53" s="148"/>
      <c r="U53" s="148"/>
      <c r="V53" s="2"/>
      <c r="W53" s="2"/>
      <c r="X53" s="2"/>
      <c r="Y53" s="2"/>
    </row>
    <row r="54" spans="2:25" ht="24" customHeight="1" x14ac:dyDescent="0.25">
      <c r="B54" s="20"/>
      <c r="C54" s="2"/>
      <c r="D54" s="2"/>
      <c r="E54" s="2"/>
      <c r="F54" s="2"/>
      <c r="G54" s="2"/>
      <c r="H54" s="2"/>
      <c r="I54" s="2"/>
      <c r="J54" s="2"/>
      <c r="K54" s="2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2:25" x14ac:dyDescent="0.25">
      <c r="B55" s="20"/>
      <c r="C55" s="2"/>
      <c r="D55" s="2"/>
      <c r="E55" s="2"/>
      <c r="F55" s="2"/>
      <c r="G55" s="82" t="s">
        <v>25</v>
      </c>
      <c r="H55" s="149" t="str">
        <f ca="1">H23</f>
        <v>28/3/2022</v>
      </c>
      <c r="I55" s="149"/>
      <c r="J55" s="149"/>
      <c r="K55" s="21"/>
      <c r="M55" s="2"/>
      <c r="N55" s="150"/>
      <c r="O55" s="150"/>
      <c r="P55" s="150"/>
      <c r="Q55" s="2"/>
      <c r="R55" s="2"/>
      <c r="S55" s="150"/>
      <c r="T55" s="150"/>
      <c r="U55" s="150"/>
      <c r="V55" s="2"/>
      <c r="W55" s="2"/>
      <c r="X55" s="2"/>
      <c r="Y55" s="2"/>
    </row>
    <row r="56" spans="2:25" x14ac:dyDescent="0.25">
      <c r="B56" s="20"/>
      <c r="C56" s="2"/>
      <c r="D56" s="2"/>
      <c r="E56" s="2"/>
      <c r="F56" s="2"/>
      <c r="G56" s="2"/>
      <c r="H56" s="2"/>
      <c r="I56" s="2"/>
      <c r="J56" s="2"/>
      <c r="K56" s="21"/>
      <c r="L56" s="13"/>
      <c r="M56" s="15"/>
      <c r="N56" s="143"/>
      <c r="O56" s="143"/>
      <c r="P56" s="143"/>
      <c r="Q56" s="15"/>
      <c r="R56" s="15"/>
      <c r="S56" s="143"/>
      <c r="T56" s="143"/>
      <c r="U56" s="143"/>
      <c r="V56" s="2"/>
      <c r="W56" s="2"/>
      <c r="X56" s="2"/>
      <c r="Y56" s="2"/>
    </row>
    <row r="57" spans="2:25" x14ac:dyDescent="0.25">
      <c r="B57" s="20"/>
      <c r="C57" s="144"/>
      <c r="D57" s="144"/>
      <c r="E57" s="144"/>
      <c r="F57" s="2"/>
      <c r="G57" s="2"/>
      <c r="H57" s="144"/>
      <c r="I57" s="144"/>
      <c r="J57" s="144"/>
      <c r="K57" s="21"/>
      <c r="L57" s="13"/>
      <c r="M57" s="15"/>
      <c r="N57" s="15"/>
      <c r="O57" s="15"/>
      <c r="P57" s="15"/>
      <c r="Q57" s="15"/>
      <c r="R57" s="15"/>
      <c r="S57" s="15"/>
      <c r="T57" s="15"/>
      <c r="U57" s="15"/>
      <c r="V57" s="2"/>
      <c r="W57" s="2"/>
      <c r="X57" s="2"/>
      <c r="Y57" s="2"/>
    </row>
    <row r="58" spans="2:25" ht="13.5" customHeight="1" x14ac:dyDescent="0.25">
      <c r="B58" s="26"/>
      <c r="C58" s="143" t="s">
        <v>23</v>
      </c>
      <c r="D58" s="143"/>
      <c r="E58" s="143"/>
      <c r="F58" s="15"/>
      <c r="G58" s="15"/>
      <c r="H58" s="143" t="s">
        <v>24</v>
      </c>
      <c r="I58" s="143"/>
      <c r="J58" s="143"/>
      <c r="K58" s="2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2:25" ht="8.25" customHeight="1" x14ac:dyDescent="0.25">
      <c r="B59" s="26"/>
      <c r="C59" s="15"/>
      <c r="D59" s="15"/>
      <c r="E59" s="15"/>
      <c r="F59" s="15"/>
      <c r="G59" s="15"/>
      <c r="H59" s="15"/>
      <c r="I59" s="15"/>
      <c r="J59" s="15"/>
      <c r="K59" s="2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2:25" ht="9" customHeight="1" x14ac:dyDescent="0.25">
      <c r="B60" s="23"/>
      <c r="C60" s="24"/>
      <c r="D60" s="24"/>
      <c r="E60" s="24"/>
      <c r="F60" s="24"/>
      <c r="G60" s="24"/>
      <c r="H60" s="24"/>
      <c r="I60" s="24"/>
      <c r="J60" s="24"/>
      <c r="K60" s="25"/>
    </row>
  </sheetData>
  <sheetProtection algorithmName="SHA-512" hashValue="OnA16mN+cudEerKNfcGBN0Wh/KRZhYj93nhwvLMMNacgyeifDZ7YJECtaCksDaic9AhXzEXs8mA61RUEffnPBA==" saltValue="Eghm+nnAqYe2etwlLyUvaA==" spinCount="100000" sheet="1" objects="1" scenarios="1" selectLockedCells="1"/>
  <mergeCells count="69">
    <mergeCell ref="H15:J15"/>
    <mergeCell ref="C2:J2"/>
    <mergeCell ref="D3:I3"/>
    <mergeCell ref="E4:H4"/>
    <mergeCell ref="D5:I5"/>
    <mergeCell ref="D7:E7"/>
    <mergeCell ref="C9:J9"/>
    <mergeCell ref="C10:J10"/>
    <mergeCell ref="C11:J11"/>
    <mergeCell ref="D13:F13"/>
    <mergeCell ref="H13:J13"/>
    <mergeCell ref="H14:J14"/>
    <mergeCell ref="H16:J16"/>
    <mergeCell ref="C18:J18"/>
    <mergeCell ref="C19:J19"/>
    <mergeCell ref="C21:E21"/>
    <mergeCell ref="F21:G21"/>
    <mergeCell ref="H21:J21"/>
    <mergeCell ref="D37:I37"/>
    <mergeCell ref="O37:T37"/>
    <mergeCell ref="H23:J23"/>
    <mergeCell ref="C25:E25"/>
    <mergeCell ref="H25:J25"/>
    <mergeCell ref="C26:E26"/>
    <mergeCell ref="H26:J26"/>
    <mergeCell ref="C34:J34"/>
    <mergeCell ref="N34:U34"/>
    <mergeCell ref="D35:I35"/>
    <mergeCell ref="O35:T35"/>
    <mergeCell ref="E36:H36"/>
    <mergeCell ref="P36:S36"/>
    <mergeCell ref="D39:E39"/>
    <mergeCell ref="O39:P39"/>
    <mergeCell ref="C41:J41"/>
    <mergeCell ref="N41:U41"/>
    <mergeCell ref="C42:J42"/>
    <mergeCell ref="N42:U42"/>
    <mergeCell ref="H48:J48"/>
    <mergeCell ref="N48:U48"/>
    <mergeCell ref="C43:J43"/>
    <mergeCell ref="N43:U43"/>
    <mergeCell ref="H45:J45"/>
    <mergeCell ref="N45:P45"/>
    <mergeCell ref="Q45:S45"/>
    <mergeCell ref="T45:U45"/>
    <mergeCell ref="H46:J46"/>
    <mergeCell ref="N46:P46"/>
    <mergeCell ref="Q46:S46"/>
    <mergeCell ref="T46:U46"/>
    <mergeCell ref="H47:J47"/>
    <mergeCell ref="N49:U49"/>
    <mergeCell ref="C50:J50"/>
    <mergeCell ref="C51:J51"/>
    <mergeCell ref="N51:P51"/>
    <mergeCell ref="Q51:R51"/>
    <mergeCell ref="S51:U51"/>
    <mergeCell ref="C53:E53"/>
    <mergeCell ref="F53:G53"/>
    <mergeCell ref="H53:J53"/>
    <mergeCell ref="S53:U53"/>
    <mergeCell ref="H55:J55"/>
    <mergeCell ref="N55:P55"/>
    <mergeCell ref="S55:U55"/>
    <mergeCell ref="N56:P56"/>
    <mergeCell ref="S56:U56"/>
    <mergeCell ref="C57:E57"/>
    <mergeCell ref="H57:J57"/>
    <mergeCell ref="C58:E58"/>
    <mergeCell ref="H58:J58"/>
  </mergeCells>
  <conditionalFormatting sqref="C7 F39:J39 L40:U57 L39:N39 Q39:U39 C13:D16 L33:U38 C2:L6 B34:J38 F7:L7 B39:C39 C8:L12 B40:J44 C29:U32 C17:L28 B49:J60 K13:L16 H14:H16 H45:H48 B45:D48">
    <cfRule type="cellIs" dxfId="3" priority="4" operator="equal">
      <formula>0</formula>
    </cfRule>
  </conditionalFormatting>
  <conditionalFormatting sqref="G13:G16">
    <cfRule type="cellIs" dxfId="2" priority="3" operator="equal">
      <formula>0</formula>
    </cfRule>
  </conditionalFormatting>
  <conditionalFormatting sqref="H13">
    <cfRule type="cellIs" dxfId="1" priority="2" operator="equal">
      <formula>0</formula>
    </cfRule>
  </conditionalFormatting>
  <conditionalFormatting sqref="G45:G48">
    <cfRule type="cellIs" dxfId="0" priority="1" operator="equal">
      <formula>0</formula>
    </cfRule>
  </conditionalFormatting>
  <pageMargins left="0.59055118110236227" right="0" top="0.39370078740157483" bottom="0" header="0" footer="0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pinner 1">
              <controlPr defaultSize="0" autoPict="0">
                <anchor moveWithCells="1" sizeWithCells="1">
                  <from>
                    <xdr:col>25</xdr:col>
                    <xdr:colOff>200025</xdr:colOff>
                    <xdr:row>4</xdr:row>
                    <xdr:rowOff>114300</xdr:rowOff>
                  </from>
                  <to>
                    <xdr:col>25</xdr:col>
                    <xdr:colOff>1047750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REGISTRO</vt:lpstr>
      <vt:lpstr>REGISTRO_B.DATOS</vt:lpstr>
      <vt:lpstr>INGRESOS</vt:lpstr>
      <vt:lpstr>RECIBOS</vt:lpstr>
      <vt:lpstr>RECIBOS!Área_de_impresión</vt:lpstr>
      <vt:lpstr>REGISTRO!xCURSO</vt:lpstr>
      <vt:lpstr>xCURSO</vt:lpstr>
      <vt:lpstr>REGISTRO!xNIVEL</vt:lpstr>
      <vt:lpstr>xNIVEL</vt:lpstr>
      <vt:lpstr>REGISTRO!XPARALELO</vt:lpstr>
      <vt:lpstr>XPARALELO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SANIEL</dc:creator>
  <cp:lastModifiedBy>RUBEN</cp:lastModifiedBy>
  <cp:lastPrinted>2019-07-01T15:24:39Z</cp:lastPrinted>
  <dcterms:created xsi:type="dcterms:W3CDTF">2019-01-11T17:29:58Z</dcterms:created>
  <dcterms:modified xsi:type="dcterms:W3CDTF">2026-05-14T21:26:09Z</dcterms:modified>
</cp:coreProperties>
</file>